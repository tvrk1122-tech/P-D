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hods Reference" sheetId="1" state="visible" r:id="rId3"/>
    <sheet name="2. Savings Tracker" sheetId="2" state="visible" r:id="rId4"/>
    <sheet name="3. Location Detail" sheetId="3" state="visible" r:id="rId5"/>
    <sheet name="4. YoY Trend" sheetId="4" state="visible" r:id="rId6"/>
    <sheet name="5. Audit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<sst xmlns="http://schemas.openxmlformats.org/spreadsheetml/2006/main" count="176" uniqueCount="163">
  <si>
    <t xml:space="preserve">Current Energy Saving Methods — Reference Guide &amp; Expected Impact</t>
  </si>
  <si>
    <t xml:space="preserve">7 Core Methods | How They Work | Expected Savings | NAAC Green Campus Evidence</t>
  </si>
  <si>
    <t xml:space="preserve">#</t>
  </si>
  <si>
    <t xml:space="preserve">Saving Method</t>
  </si>
  <si>
    <t xml:space="preserve">Description &amp; How It Works</t>
  </si>
  <si>
    <t xml:space="preserve">Expected Saving</t>
  </si>
  <si>
    <t xml:space="preserve">Applicable Areas</t>
  </si>
  <si>
    <t xml:space="preserve">Turning Off Equipment When Not in Use</t>
  </si>
  <si>
    <t xml:space="preserve">Awareness campaigns encourage staff and students to switch off lights, fans, projectors, and lab equipment when not needed. Reduces standby losses. Behavioural change — lowest cost, immediate impact. Signage, reminders, switch-off drills, designated monitors.</t>
  </si>
  <si>
    <t xml:space="preserve">5–10% of total consumption</t>
  </si>
  <si>
    <t xml:space="preserve">All classrooms, labs, offices, corridors, hostels</t>
  </si>
  <si>
    <t xml:space="preserve">Replacement of Incandescent/CFL with LED</t>
  </si>
  <si>
    <t xml:space="preserve">LEDs consume 75–80% less energy than traditional incandescent bulbs for same brightness. Longer lifespan (25,000–50,000 hrs vs 1,000 hrs incandescent). Reduced maintenance and e-waste. Quick payback (6–12 months).</t>
  </si>
  <si>
    <t xml:space="preserve">75–80% lighting energy reduction</t>
  </si>
  <si>
    <t xml:space="preserve">All interior + exterior lighting, streetlights, hostels</t>
  </si>
  <si>
    <t xml:space="preserve">Maintenance &amp; Replacement of Old Appliances</t>
  </si>
  <si>
    <t xml:space="preserve">Routine servicing of ACs, fans, refrigerators, lab equipment. Old inefficient appliances phased out → replaced with 5-star BEE rated or inverter models. Reduces power wastage and failure rates. Preventive maintenance calendar.</t>
  </si>
  <si>
    <t xml:space="preserve">15–25% per appliance category</t>
  </si>
  <si>
    <t xml:space="preserve">ACs, fans, refrigerators, water coolers, lab equipment</t>
  </si>
  <si>
    <t xml:space="preserve">Power-Saving Mode in ICT Equipment</t>
  </si>
  <si>
    <t xml:space="preserve">All computers, printers, electronic equipment configured for energy-saving mode when idle. Monitors auto-sleep after 5–10 min. Screen brightness reduced. Hibernate mode after 30 min.</t>
  </si>
  <si>
    <t xml:space="preserve">15–25% ICT energy reduction</t>
  </si>
  <si>
    <t xml:space="preserve">Computer labs, offices, admin, library</t>
  </si>
  <si>
    <t xml:space="preserve">Master Switch Outside Each Room</t>
  </si>
  <si>
    <t xml:space="preserve">Single master switch outside classrooms and labs. Quick shutdown of ALL devices (lights, fans, projectors, ACs) when room vacated. Prevents human-error waste. Very low cost installation.</t>
  </si>
  <si>
    <t xml:space="preserve">10–15% classroom consumption</t>
  </si>
  <si>
    <t xml:space="preserve">Classrooms, tutorial rooms, seminar halls, labs</t>
  </si>
  <si>
    <t xml:space="preserve">Motion Sensors in Corridors &amp; Toilets</t>
  </si>
  <si>
    <t xml:space="preserve">Automatic PIR motion sensor lighting in common areas — lights ON only when people present. Reduces load in corridors, washrooms, staircases where lights often left ON unnecessarily.</t>
  </si>
  <si>
    <t xml:space="preserve">30–40% corridor/toilet lighting</t>
  </si>
  <si>
    <t xml:space="preserve">Corridors, staircases, washrooms, parking areas</t>
  </si>
  <si>
    <t xml:space="preserve">Replacing Geysers with Solar Water Heating (SWHS)</t>
  </si>
  <si>
    <t xml:space="preserve">Traditional electric geysers are among least efficient devices. Solar water heating systems significantly cut electricity in hostels and residential buildings. Each SWHS saves 1,500–2,000 kWh/year. Reduces grid dependency.</t>
  </si>
  <si>
    <t xml:space="preserve">60–70% hot water energy; 1,500–2,000 kWh/geyser/year</t>
  </si>
  <si>
    <t xml:space="preserve">Hostels, staff quarters, guest house, canteen</t>
  </si>
  <si>
    <t xml:space="preserve">Energy Saving Methods — Before / After Tracker with Auto-Calculated Savings</t>
  </si>
  <si>
    <t xml:space="preserve">Yellow = Input (Before &amp; After kWh) | Grey = Auto (Saving, %, Cost) | Tariff from Config</t>
  </si>
  <si>
    <t xml:space="preserve">Electricity Tariff (Rs/kWh)</t>
  </si>
  <si>
    <t xml:space="preserve">S.No.</t>
  </si>
  <si>
    <t xml:space="preserve">Category (Behavioural / Technology / Maintenance / Renewable)</t>
  </si>
  <si>
    <t xml:space="preserve">Area / Location Applied</t>
  </si>
  <si>
    <t xml:space="preserve">Before (kWh/Month)</t>
  </si>
  <si>
    <t xml:space="preserve">After (kWh/Month)</t>
  </si>
  <si>
    <t xml:space="preserve">Saving (kWh/Month) [AUTO]</t>
  </si>
  <si>
    <t xml:space="preserve">Saving (%) [AUTO]</t>
  </si>
  <si>
    <t xml:space="preserve">Saving (Rs/Month) [AUTO]</t>
  </si>
  <si>
    <t xml:space="preserve">Saving (kWh/Year) [AUTO]</t>
  </si>
  <si>
    <t xml:space="preserve">Saving (Rs/Year) [AUTO]</t>
  </si>
  <si>
    <t xml:space="preserve">Status (Implemented / Partial / Planned)</t>
  </si>
  <si>
    <t xml:space="preserve">Evidence / Remarks</t>
  </si>
  <si>
    <t xml:space="preserve">Turning off equipment when not in use</t>
  </si>
  <si>
    <t xml:space="preserve">Behavioural</t>
  </si>
  <si>
    <t xml:space="preserve">Campus-wide</t>
  </si>
  <si>
    <t xml:space="preserve">Replacement of incandescent/CFL with LED</t>
  </si>
  <si>
    <t xml:space="preserve">Technology</t>
  </si>
  <si>
    <t xml:space="preserve">All lighting</t>
  </si>
  <si>
    <t xml:space="preserve">Maintenance &amp; replacement of old appliances</t>
  </si>
  <si>
    <t xml:space="preserve">Maintenance</t>
  </si>
  <si>
    <t xml:space="preserve">ACs, fans, refrigerators, labs</t>
  </si>
  <si>
    <t xml:space="preserve">Power-saving mode in ICT equipment</t>
  </si>
  <si>
    <t xml:space="preserve">Computer labs, offices</t>
  </si>
  <si>
    <t xml:space="preserve">Master switch outside each room</t>
  </si>
  <si>
    <t xml:space="preserve">Classrooms, seminar halls, labs</t>
  </si>
  <si>
    <t xml:space="preserve">Motion sensors in corridors &amp; toilets</t>
  </si>
  <si>
    <t xml:space="preserve">Corridors, washrooms, staircases</t>
  </si>
  <si>
    <t xml:space="preserve">Replacing geysers with SWHS</t>
  </si>
  <si>
    <t xml:space="preserve">Renewable</t>
  </si>
  <si>
    <t xml:space="preserve">Hostels, staff quarters</t>
  </si>
  <si>
    <t xml:space="preserve">CAMPUS TOTAL ENERGY SAVINGS</t>
  </si>
  <si>
    <t xml:space="preserve">TOTALS</t>
  </si>
  <si>
    <t xml:space="preserve">Savings by Category</t>
  </si>
  <si>
    <t xml:space="preserve">Category</t>
  </si>
  <si>
    <t xml:space="preserve">Count</t>
  </si>
  <si>
    <t xml:space="preserve">kWh Saved/Mo</t>
  </si>
  <si>
    <t xml:space="preserve">Saving %</t>
  </si>
  <si>
    <t xml:space="preserve">Rs Saved/Mo</t>
  </si>
  <si>
    <t xml:space="preserve">kWh/Year</t>
  </si>
  <si>
    <t xml:space="preserve">Rs/Year</t>
  </si>
  <si>
    <t xml:space="preserve">% of Total Saving</t>
  </si>
  <si>
    <t xml:space="preserve">Implementation Status</t>
  </si>
  <si>
    <t xml:space="preserve">Implemented</t>
  </si>
  <si>
    <t xml:space="preserve">Partial</t>
  </si>
  <si>
    <t xml:space="preserve">Planned</t>
  </si>
  <si>
    <t xml:space="preserve">Saving Method Impact by Location / Building — Granular Tracking</t>
  </si>
  <si>
    <t xml:space="preserve">Which method saves most in which building | Prioritizes future investment</t>
  </si>
  <si>
    <t xml:space="preserve">Building / Block</t>
  </si>
  <si>
    <t xml:space="preserve">Saving Method Applied</t>
  </si>
  <si>
    <t xml:space="preserve">Before (kWh/Mo)</t>
  </si>
  <si>
    <t xml:space="preserve">After (kWh/Mo)</t>
  </si>
  <si>
    <t xml:space="preserve">Saving (kWh/Mo) [AUTO]</t>
  </si>
  <si>
    <t xml:space="preserve">Saving (Rs/Mo) [AUTO]</t>
  </si>
  <si>
    <t xml:space="preserve">Remarks</t>
  </si>
  <si>
    <t xml:space="preserve">Location Totals</t>
  </si>
  <si>
    <t xml:space="preserve">TOTAL</t>
  </si>
  <si>
    <t xml:space="preserve">Energy Saving Methods — 5-Year Trend</t>
  </si>
  <si>
    <t xml:space="preserve">Track cumulative savings growth for NAAC / Green Audit evidence</t>
  </si>
  <si>
    <t xml:space="preserve">Parameter</t>
  </si>
  <si>
    <t xml:space="preserve">Unit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</si>
  <si>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</si>
  <si>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</si>
  <si>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</si>
  <si>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</si>
  <si>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</si>
  <si>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Change</t>
  </si>
  <si>
    <t xml:space="preserve">Growth (%)</t>
  </si>
  <si>
    <t xml:space="preserve">Trend</t>
  </si>
  <si>
    <t xml:space="preserve">Methods Implemented (count)</t>
  </si>
  <si>
    <t xml:space="preserve">Total Monthly Saving (kWh)</t>
  </si>
  <si>
    <t xml:space="preserve">Total Monthly Cost Saving (Rs)</t>
  </si>
  <si>
    <t xml:space="preserve">Annual kWh Saved</t>
  </si>
  <si>
    <t xml:space="preserve">Annual Rs Saved</t>
  </si>
  <si>
    <t xml:space="preserve">Overall Saving %</t>
  </si>
  <si>
    <t xml:space="preserve">LED Transition %</t>
  </si>
  <si>
    <t xml:space="preserve">Renewable Energy (kWh/mo)</t>
  </si>
  <si>
    <t xml:space="preserve">Awareness Initiatives (count)</t>
  </si>
  <si>
    <t xml:space="preserve">Carbon Offset (tonnes CO2/yr)</t>
  </si>
  <si>
    <t xml:space="preserve">Energy Saving Methods — Audit &amp; Evidence Checklist (NAAC / Green Audit)</t>
  </si>
  <si>
    <t xml:space="preserve">Evidence for each method + savings verification + future planning</t>
  </si>
  <si>
    <t xml:space="preserve">Audit Item</t>
  </si>
  <si>
    <t xml:space="preserve">Requirement / Description</t>
  </si>
  <si>
    <t xml:space="preserve">Status (Y/X/IP)</t>
  </si>
  <si>
    <t xml:space="preserve">Date</t>
  </si>
  <si>
    <t xml:space="preserve">Reviewer</t>
  </si>
  <si>
    <t xml:space="preserve">All 7 core methods documented</t>
  </si>
  <si>
    <t xml:space="preserve">Switch-off, LED, maintenance, power-save, master switch, motion sensors, SWHS</t>
  </si>
  <si>
    <t xml:space="preserve">Before/after kWh recorded</t>
  </si>
  <si>
    <t xml:space="preserve">Baseline (before) and current (after) consumption per method documented</t>
  </si>
  <si>
    <t xml:space="preserve">Savings auto-calculated correctly</t>
  </si>
  <si>
    <t xml:space="preserve">kWh saved = before - after; % = saved/before; Rs = kWh x tariff</t>
  </si>
  <si>
    <t xml:space="preserve">Category classification</t>
  </si>
  <si>
    <t xml:space="preserve">Each method tagged: Behavioural, Technology, Maintenance, or Renewable</t>
  </si>
  <si>
    <t xml:space="preserve">Location-wise detail available</t>
  </si>
  <si>
    <t xml:space="preserve">Building-level before/after data for each method applied</t>
  </si>
  <si>
    <t xml:space="preserve">LED transition documented</t>
  </si>
  <si>
    <t xml:space="preserve">% of total fixtures converted to LED; count of LED vs non-LED</t>
  </si>
  <si>
    <t xml:space="preserve">BEE star ratings documented</t>
  </si>
  <si>
    <t xml:space="preserve">Star rating of new appliances (ACs, refrigerators, fans) recorded</t>
  </si>
  <si>
    <t xml:space="preserve">Power-save mode verified</t>
  </si>
  <si>
    <t xml:space="preserve">ICT equipment checked for sleep/hibernate/power-save configuration</t>
  </si>
  <si>
    <t xml:space="preserve">Master switches installed</t>
  </si>
  <si>
    <t xml:space="preserve">Count and locations of master switches documented with photos</t>
  </si>
  <si>
    <t xml:space="preserve">Motion sensors installed</t>
  </si>
  <si>
    <t xml:space="preserve">Count and locations of motion sensors; coverage area documented</t>
  </si>
  <si>
    <t xml:space="preserve">SWHS capacity documented</t>
  </si>
  <si>
    <t xml:space="preserve">Solar water heater capacity (LPD), location, geysers replaced, kWh saved</t>
  </si>
  <si>
    <t xml:space="preserve">Implementation status tracked</t>
  </si>
  <si>
    <t xml:space="preserve">Each method marked Implemented / Partial / Planned</t>
  </si>
  <si>
    <t xml:space="preserve">Category-wise savings computed</t>
  </si>
  <si>
    <t xml:space="preserve">Behavioural, Technology, Maintenance, Renewable breakdowns available</t>
  </si>
  <si>
    <t xml:space="preserve">Annual savings projected</t>
  </si>
  <si>
    <t xml:space="preserve">Monthly savings x 12 computed for annual projection</t>
  </si>
  <si>
    <t xml:space="preserve">Cost savings at correct tariff</t>
  </si>
  <si>
    <t xml:space="preserve">Rs/kWh tariff documented; cost savings = kWh x tariff</t>
  </si>
  <si>
    <t xml:space="preserve">5-year trend documented</t>
  </si>
  <si>
    <t xml:space="preserve">Savings tracked over 5 years for NAAC / accreditation</t>
  </si>
  <si>
    <t xml:space="preserve">Carbon offset estimated</t>
  </si>
  <si>
    <t xml:space="preserve">CO2 saved = kWh saved x emission factor (0.82 kg CO2/kWh India grid)</t>
  </si>
  <si>
    <t xml:space="preserve">NAAC 7.1.4 / 7.1.6 evidence ready</t>
  </si>
  <si>
    <t xml:space="preserve">Complete documentation package for energy conservation</t>
  </si>
  <si>
    <t xml:space="preserve">Future suggestions documented</t>
  </si>
  <si>
    <t xml:space="preserve">Additional saving methods proposed with expected impact</t>
  </si>
  <si>
    <t xml:space="preserve">Reproducibility verified</t>
  </si>
  <si>
    <t xml:space="preserve">All savings reproducible from before/after data within ±5%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</si>
</sst>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548235"/>
      <name val="Arial"/>
      <family val="0"/>
      <charset val="1"/>
    </font>
    <font>
      <b val="true"/>
      <sz val="14"/>
      <color rgb="FF548235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b val="true"/>
      <sz val="12"/>
      <color rgb="FF1565C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548235"/>
        <bgColor rgb="FF339966"/>
      </patternFill>
    </fill>
    <fill>
      <patternFill patternType="solid">
        <fgColor rgb="FFE3F2FD"/>
        <bgColor rgb="FFF2F2F2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5D9"/>
      </patternFill>
    </fill>
    <fill>
      <patternFill patternType="solid">
        <fgColor rgb="FFF2F2F2"/>
        <bgColor rgb="FFE3F2FD"/>
      </patternFill>
    </fill>
    <fill>
      <patternFill patternType="solid">
        <fgColor rgb="FF1A2E4F"/>
        <bgColor rgb="FF404040"/>
      </patternFill>
    </fill>
    <fill>
      <patternFill patternType="solid">
        <fgColor rgb="FFFFF5D9"/>
        <bgColor rgb="FFFFFDE7"/>
      </patternFill>
    </fill>
    <fill>
      <patternFill patternType="solid">
        <fgColor rgb="FFE2EFDA"/>
        <bgColor rgb="FFE3F2FD"/>
      </patternFill>
    </fill>
    <fill>
      <patternFill patternType="solid">
        <fgColor rgb="FFB71C1C"/>
        <bgColor rgb="FF8B0000"/>
      </patternFill>
    </fill>
    <fill>
      <patternFill patternType="solid">
        <fgColor rgb="FF1565C0"/>
        <bgColor rgb="FF0D47A1"/>
      </patternFill>
    </fill>
    <fill>
      <patternFill patternType="solid">
        <fgColor rgb="FF8B0000"/>
        <bgColor rgb="FF800000"/>
      </patternFill>
    </fill>
    <fill>
      <patternFill patternType="solid">
        <fgColor rgb="FF0D47A1"/>
        <bgColor rgb="FF1565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993366"/>
      <rgbColor rgb="FFFFF5D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E4F"/>
      <rgbColor rgb="FF339966"/>
      <rgbColor rgb="FF003300"/>
      <rgbColor rgb="FF333300"/>
      <rgbColor rgb="FFB71C1C"/>
      <rgbColor rgb="FF993366"/>
      <rgbColor rgb="FF0D47A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5" min="4" style="0" width="2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84.75" hidden="false" customHeight="true" outlineLevel="0" collapsed="false">
      <c r="A4" s="4" t="n">
        <v>1</v>
      </c>
      <c r="B4" s="5" t="s">
        <v>7</v>
      </c>
      <c r="C4" s="6" t="s">
        <v>8</v>
      </c>
      <c r="D4" s="4" t="s">
        <v>9</v>
      </c>
      <c r="E4" s="6" t="s">
        <v>10</v>
      </c>
    </row>
    <row r="5" customFormat="false" ht="84.75" hidden="false" customHeight="true" outlineLevel="0" collapsed="false">
      <c r="A5" s="7" t="n">
        <v>2</v>
      </c>
      <c r="B5" s="8" t="s">
        <v>11</v>
      </c>
      <c r="C5" s="9" t="s">
        <v>12</v>
      </c>
      <c r="D5" s="7" t="s">
        <v>13</v>
      </c>
      <c r="E5" s="9" t="s">
        <v>14</v>
      </c>
    </row>
    <row r="6" customFormat="false" ht="84.75" hidden="false" customHeight="true" outlineLevel="0" collapsed="false">
      <c r="A6" s="4" t="n">
        <v>3</v>
      </c>
      <c r="B6" s="5" t="s">
        <v>15</v>
      </c>
      <c r="C6" s="6" t="s">
        <v>16</v>
      </c>
      <c r="D6" s="4" t="s">
        <v>17</v>
      </c>
      <c r="E6" s="6" t="s">
        <v>18</v>
      </c>
    </row>
    <row r="7" customFormat="false" ht="84.75" hidden="false" customHeight="true" outlineLevel="0" collapsed="false">
      <c r="A7" s="7" t="n">
        <v>4</v>
      </c>
      <c r="B7" s="8" t="s">
        <v>19</v>
      </c>
      <c r="C7" s="9" t="s">
        <v>20</v>
      </c>
      <c r="D7" s="7" t="s">
        <v>21</v>
      </c>
      <c r="E7" s="9" t="s">
        <v>22</v>
      </c>
    </row>
    <row r="8" customFormat="false" ht="84.75" hidden="false" customHeight="true" outlineLevel="0" collapsed="false">
      <c r="A8" s="4" t="n">
        <v>5</v>
      </c>
      <c r="B8" s="5" t="s">
        <v>23</v>
      </c>
      <c r="C8" s="6" t="s">
        <v>24</v>
      </c>
      <c r="D8" s="4" t="s">
        <v>25</v>
      </c>
      <c r="E8" s="6" t="s">
        <v>26</v>
      </c>
    </row>
    <row r="9" customFormat="false" ht="84.75" hidden="false" customHeight="true" outlineLevel="0" collapsed="false">
      <c r="A9" s="7" t="n">
        <v>6</v>
      </c>
      <c r="B9" s="8" t="s">
        <v>27</v>
      </c>
      <c r="C9" s="9" t="s">
        <v>28</v>
      </c>
      <c r="D9" s="7" t="s">
        <v>29</v>
      </c>
      <c r="E9" s="9" t="s">
        <v>30</v>
      </c>
    </row>
    <row r="10" customFormat="false" ht="84.75" hidden="false" customHeight="true" outlineLevel="0" collapsed="false">
      <c r="A10" s="4" t="n">
        <v>7</v>
      </c>
      <c r="B10" s="5" t="s">
        <v>31</v>
      </c>
      <c r="C10" s="6" t="s">
        <v>32</v>
      </c>
      <c r="D10" s="4" t="s">
        <v>33</v>
      </c>
      <c r="E10" s="6" t="s">
        <v>34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10" min="4" style="0" width="18"/>
    <col collapsed="false" customWidth="true" hidden="false" outlineLevel="0" max="12" min="11" style="0" width="22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5.5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10" t="s">
        <v>37</v>
      </c>
      <c r="B3" s="10"/>
      <c r="C3" s="10"/>
      <c r="D3" s="10"/>
      <c r="E3" s="11" t="n">
        <v>8</v>
      </c>
      <c r="F3" s="12"/>
      <c r="G3" s="12"/>
      <c r="H3" s="12"/>
      <c r="I3" s="12"/>
      <c r="J3" s="12"/>
      <c r="K3" s="12"/>
      <c r="L3" s="12"/>
      <c r="M3" s="12"/>
    </row>
    <row r="5" customFormat="false" ht="46.25" hidden="false" customHeight="false" outlineLevel="0" collapsed="false">
      <c r="A5" s="3" t="s">
        <v>38</v>
      </c>
      <c r="B5" s="3" t="s">
        <v>3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49</v>
      </c>
    </row>
    <row r="6" customFormat="false" ht="23.85" hidden="false" customHeight="false" outlineLevel="0" collapsed="false">
      <c r="A6" s="13" t="n">
        <v>1</v>
      </c>
      <c r="B6" s="14" t="s">
        <v>50</v>
      </c>
      <c r="C6" s="13" t="s">
        <v>51</v>
      </c>
      <c r="D6" s="13" t="s">
        <v>52</v>
      </c>
      <c r="E6" s="15" t="n">
        <v>5000</v>
      </c>
      <c r="F6" s="15" t="n">
        <v>4500</v>
      </c>
      <c r="G6" s="16" t="n">
        <f aca="false">IF(AND(E6&gt;0,F6&gt;=0),E6-F6,0)</f>
        <v>500</v>
      </c>
      <c r="H6" s="17" t="n">
        <f aca="false">IF(E6&gt;0,G6/E6*100,0)</f>
        <v>10</v>
      </c>
      <c r="I6" s="16" t="n">
        <f aca="false">G6*$E$3</f>
        <v>4000</v>
      </c>
      <c r="J6" s="18" t="n">
        <f aca="false">G6*12</f>
        <v>6000</v>
      </c>
      <c r="K6" s="18" t="n">
        <f aca="false">I6*12</f>
        <v>48000</v>
      </c>
      <c r="L6" s="19"/>
      <c r="M6" s="19"/>
    </row>
    <row r="7" customFormat="false" ht="23.85" hidden="false" customHeight="false" outlineLevel="0" collapsed="false">
      <c r="A7" s="13" t="n">
        <v>2</v>
      </c>
      <c r="B7" s="14" t="s">
        <v>53</v>
      </c>
      <c r="C7" s="13" t="s">
        <v>54</v>
      </c>
      <c r="D7" s="13" t="s">
        <v>55</v>
      </c>
      <c r="E7" s="15" t="n">
        <v>4000</v>
      </c>
      <c r="F7" s="15" t="n">
        <v>1000</v>
      </c>
      <c r="G7" s="16" t="n">
        <f aca="false">IF(AND(E7&gt;0,F7&gt;=0),E7-F7,0)</f>
        <v>3000</v>
      </c>
      <c r="H7" s="17" t="n">
        <f aca="false">IF(E7&gt;0,G7/E7*100,0)</f>
        <v>75</v>
      </c>
      <c r="I7" s="16" t="n">
        <f aca="false">G7*$E$3</f>
        <v>24000</v>
      </c>
      <c r="J7" s="18" t="n">
        <f aca="false">G7*12</f>
        <v>36000</v>
      </c>
      <c r="K7" s="18" t="n">
        <f aca="false">I7*12</f>
        <v>288000</v>
      </c>
      <c r="L7" s="19"/>
      <c r="M7" s="19"/>
    </row>
    <row r="8" customFormat="false" ht="23.85" hidden="false" customHeight="false" outlineLevel="0" collapsed="false">
      <c r="A8" s="13" t="n">
        <v>3</v>
      </c>
      <c r="B8" s="14" t="s">
        <v>56</v>
      </c>
      <c r="C8" s="13" t="s">
        <v>57</v>
      </c>
      <c r="D8" s="13" t="s">
        <v>58</v>
      </c>
      <c r="E8" s="15" t="n">
        <v>6000</v>
      </c>
      <c r="F8" s="15" t="n">
        <v>4800</v>
      </c>
      <c r="G8" s="16" t="n">
        <f aca="false">IF(AND(E8&gt;0,F8&gt;=0),E8-F8,0)</f>
        <v>1200</v>
      </c>
      <c r="H8" s="17" t="n">
        <f aca="false">IF(E8&gt;0,G8/E8*100,0)</f>
        <v>20</v>
      </c>
      <c r="I8" s="16" t="n">
        <f aca="false">G8*$E$3</f>
        <v>9600</v>
      </c>
      <c r="J8" s="18" t="n">
        <f aca="false">G8*12</f>
        <v>14400</v>
      </c>
      <c r="K8" s="18" t="n">
        <f aca="false">I8*12</f>
        <v>115200</v>
      </c>
      <c r="L8" s="19"/>
      <c r="M8" s="19"/>
    </row>
    <row r="9" customFormat="false" ht="23.85" hidden="false" customHeight="false" outlineLevel="0" collapsed="false">
      <c r="A9" s="13" t="n">
        <v>4</v>
      </c>
      <c r="B9" s="14" t="s">
        <v>59</v>
      </c>
      <c r="C9" s="13" t="s">
        <v>54</v>
      </c>
      <c r="D9" s="13" t="s">
        <v>60</v>
      </c>
      <c r="E9" s="15" t="n">
        <v>3500</v>
      </c>
      <c r="F9" s="15" t="n">
        <v>2800</v>
      </c>
      <c r="G9" s="16" t="n">
        <f aca="false">IF(AND(E9&gt;0,F9&gt;=0),E9-F9,0)</f>
        <v>700</v>
      </c>
      <c r="H9" s="17" t="n">
        <f aca="false">IF(E9&gt;0,G9/E9*100,0)</f>
        <v>20</v>
      </c>
      <c r="I9" s="16" t="n">
        <f aca="false">G9*$E$3</f>
        <v>5600</v>
      </c>
      <c r="J9" s="18" t="n">
        <f aca="false">G9*12</f>
        <v>8400</v>
      </c>
      <c r="K9" s="18" t="n">
        <f aca="false">I9*12</f>
        <v>67200</v>
      </c>
      <c r="L9" s="19"/>
      <c r="M9" s="19"/>
    </row>
    <row r="10" customFormat="false" ht="23.85" hidden="false" customHeight="false" outlineLevel="0" collapsed="false">
      <c r="A10" s="13" t="n">
        <v>5</v>
      </c>
      <c r="B10" s="14" t="s">
        <v>61</v>
      </c>
      <c r="C10" s="13" t="s">
        <v>54</v>
      </c>
      <c r="D10" s="13" t="s">
        <v>62</v>
      </c>
      <c r="E10" s="15" t="n">
        <v>3000</v>
      </c>
      <c r="F10" s="15" t="n">
        <v>2550</v>
      </c>
      <c r="G10" s="16" t="n">
        <f aca="false">IF(AND(E10&gt;0,F10&gt;=0),E10-F10,0)</f>
        <v>450</v>
      </c>
      <c r="H10" s="17" t="n">
        <f aca="false">IF(E10&gt;0,G10/E10*100,0)</f>
        <v>15</v>
      </c>
      <c r="I10" s="16" t="n">
        <f aca="false">G10*$E$3</f>
        <v>3600</v>
      </c>
      <c r="J10" s="18" t="n">
        <f aca="false">G10*12</f>
        <v>5400</v>
      </c>
      <c r="K10" s="18" t="n">
        <f aca="false">I10*12</f>
        <v>43200</v>
      </c>
      <c r="L10" s="19"/>
      <c r="M10" s="19"/>
    </row>
    <row r="11" customFormat="false" ht="35.05" hidden="false" customHeight="false" outlineLevel="0" collapsed="false">
      <c r="A11" s="13" t="n">
        <v>6</v>
      </c>
      <c r="B11" s="14" t="s">
        <v>63</v>
      </c>
      <c r="C11" s="13" t="s">
        <v>54</v>
      </c>
      <c r="D11" s="13" t="s">
        <v>64</v>
      </c>
      <c r="E11" s="15" t="n">
        <v>2500</v>
      </c>
      <c r="F11" s="15" t="n">
        <v>1500</v>
      </c>
      <c r="G11" s="16" t="n">
        <f aca="false">IF(AND(E11&gt;0,F11&gt;=0),E11-F11,0)</f>
        <v>1000</v>
      </c>
      <c r="H11" s="17" t="n">
        <f aca="false">IF(E11&gt;0,G11/E11*100,0)</f>
        <v>40</v>
      </c>
      <c r="I11" s="16" t="n">
        <f aca="false">G11*$E$3</f>
        <v>8000</v>
      </c>
      <c r="J11" s="18" t="n">
        <f aca="false">G11*12</f>
        <v>12000</v>
      </c>
      <c r="K11" s="18" t="n">
        <f aca="false">I11*12</f>
        <v>96000</v>
      </c>
      <c r="L11" s="19"/>
      <c r="M11" s="19"/>
    </row>
    <row r="12" customFormat="false" ht="23.85" hidden="false" customHeight="false" outlineLevel="0" collapsed="false">
      <c r="A12" s="13" t="n">
        <v>7</v>
      </c>
      <c r="B12" s="14" t="s">
        <v>65</v>
      </c>
      <c r="C12" s="13" t="s">
        <v>66</v>
      </c>
      <c r="D12" s="13" t="s">
        <v>67</v>
      </c>
      <c r="E12" s="15" t="n">
        <v>4500</v>
      </c>
      <c r="F12" s="15" t="n">
        <v>1500</v>
      </c>
      <c r="G12" s="16" t="n">
        <f aca="false">IF(AND(E12&gt;0,F12&gt;=0),E12-F12,0)</f>
        <v>3000</v>
      </c>
      <c r="H12" s="17" t="n">
        <f aca="false">IF(E12&gt;0,G12/E12*100,0)</f>
        <v>66.6666666666667</v>
      </c>
      <c r="I12" s="16" t="n">
        <f aca="false">G12*$E$3</f>
        <v>24000</v>
      </c>
      <c r="J12" s="18" t="n">
        <f aca="false">G12*12</f>
        <v>36000</v>
      </c>
      <c r="K12" s="18" t="n">
        <f aca="false">I12*12</f>
        <v>288000</v>
      </c>
      <c r="L12" s="19"/>
      <c r="M12" s="19"/>
    </row>
    <row r="13" customFormat="false" ht="15" hidden="false" customHeight="false" outlineLevel="0" collapsed="false">
      <c r="A13" s="13" t="n">
        <v>8</v>
      </c>
      <c r="B13" s="19"/>
      <c r="C13" s="19"/>
      <c r="D13" s="19"/>
      <c r="E13" s="11"/>
      <c r="F13" s="11"/>
      <c r="G13" s="18" t="n">
        <f aca="false">IF(AND(E13&gt;0,F13&gt;=0),E13-F13,0)</f>
        <v>0</v>
      </c>
      <c r="H13" s="17" t="n">
        <f aca="false">IF(E13&gt;0,G13/E13*100,0)</f>
        <v>0</v>
      </c>
      <c r="I13" s="18" t="n">
        <f aca="false">G13*$E$3</f>
        <v>0</v>
      </c>
      <c r="J13" s="18" t="n">
        <f aca="false">G13*12</f>
        <v>0</v>
      </c>
      <c r="K13" s="18" t="n">
        <f aca="false">I13*12</f>
        <v>0</v>
      </c>
      <c r="L13" s="19"/>
      <c r="M13" s="19"/>
    </row>
    <row r="14" customFormat="false" ht="15" hidden="false" customHeight="false" outlineLevel="0" collapsed="false">
      <c r="A14" s="13" t="n">
        <v>9</v>
      </c>
      <c r="B14" s="19"/>
      <c r="C14" s="19"/>
      <c r="D14" s="19"/>
      <c r="E14" s="11"/>
      <c r="F14" s="11"/>
      <c r="G14" s="18" t="n">
        <f aca="false">IF(AND(E14&gt;0,F14&gt;=0),E14-F14,0)</f>
        <v>0</v>
      </c>
      <c r="H14" s="17" t="n">
        <f aca="false">IF(E14&gt;0,G14/E14*100,0)</f>
        <v>0</v>
      </c>
      <c r="I14" s="18" t="n">
        <f aca="false">G14*$E$3</f>
        <v>0</v>
      </c>
      <c r="J14" s="18" t="n">
        <f aca="false">G14*12</f>
        <v>0</v>
      </c>
      <c r="K14" s="18" t="n">
        <f aca="false">I14*12</f>
        <v>0</v>
      </c>
      <c r="L14" s="19"/>
      <c r="M14" s="19"/>
    </row>
    <row r="15" customFormat="false" ht="15" hidden="false" customHeight="false" outlineLevel="0" collapsed="false">
      <c r="A15" s="13" t="n">
        <v>10</v>
      </c>
      <c r="B15" s="19"/>
      <c r="C15" s="19"/>
      <c r="D15" s="19"/>
      <c r="E15" s="11"/>
      <c r="F15" s="11"/>
      <c r="G15" s="18" t="n">
        <f aca="false">IF(AND(E15&gt;0,F15&gt;=0),E15-F15,0)</f>
        <v>0</v>
      </c>
      <c r="H15" s="17" t="n">
        <f aca="false">IF(E15&gt;0,G15/E15*100,0)</f>
        <v>0</v>
      </c>
      <c r="I15" s="18" t="n">
        <f aca="false">G15*$E$3</f>
        <v>0</v>
      </c>
      <c r="J15" s="18" t="n">
        <f aca="false">G15*12</f>
        <v>0</v>
      </c>
      <c r="K15" s="18" t="n">
        <f aca="false">I15*12</f>
        <v>0</v>
      </c>
      <c r="L15" s="19"/>
      <c r="M15" s="19"/>
    </row>
    <row r="16" customFormat="false" ht="15" hidden="false" customHeight="false" outlineLevel="0" collapsed="false">
      <c r="A16" s="13" t="n">
        <v>11</v>
      </c>
      <c r="B16" s="19"/>
      <c r="C16" s="19"/>
      <c r="D16" s="19"/>
      <c r="E16" s="11"/>
      <c r="F16" s="11"/>
      <c r="G16" s="18" t="n">
        <f aca="false">IF(AND(E16&gt;0,F16&gt;=0),E16-F16,0)</f>
        <v>0</v>
      </c>
      <c r="H16" s="17" t="n">
        <f aca="false">IF(E16&gt;0,G16/E16*100,0)</f>
        <v>0</v>
      </c>
      <c r="I16" s="18" t="n">
        <f aca="false">G16*$E$3</f>
        <v>0</v>
      </c>
      <c r="J16" s="18" t="n">
        <f aca="false">G16*12</f>
        <v>0</v>
      </c>
      <c r="K16" s="18" t="n">
        <f aca="false">I16*12</f>
        <v>0</v>
      </c>
      <c r="L16" s="19"/>
      <c r="M16" s="19"/>
    </row>
    <row r="17" customFormat="false" ht="15" hidden="false" customHeight="false" outlineLevel="0" collapsed="false">
      <c r="A17" s="13" t="n">
        <v>12</v>
      </c>
      <c r="B17" s="19"/>
      <c r="C17" s="19"/>
      <c r="D17" s="19"/>
      <c r="E17" s="11"/>
      <c r="F17" s="11"/>
      <c r="G17" s="18" t="n">
        <f aca="false">IF(AND(E17&gt;0,F17&gt;=0),E17-F17,0)</f>
        <v>0</v>
      </c>
      <c r="H17" s="17" t="n">
        <f aca="false">IF(E17&gt;0,G17/E17*100,0)</f>
        <v>0</v>
      </c>
      <c r="I17" s="18" t="n">
        <f aca="false">G17*$E$3</f>
        <v>0</v>
      </c>
      <c r="J17" s="18" t="n">
        <f aca="false">G17*12</f>
        <v>0</v>
      </c>
      <c r="K17" s="18" t="n">
        <f aca="false">I17*12</f>
        <v>0</v>
      </c>
      <c r="L17" s="19"/>
      <c r="M17" s="19"/>
    </row>
    <row r="18" customFormat="false" ht="15" hidden="false" customHeight="false" outlineLevel="0" collapsed="false">
      <c r="A18" s="13" t="n">
        <v>13</v>
      </c>
      <c r="B18" s="19"/>
      <c r="C18" s="19"/>
      <c r="D18" s="19"/>
      <c r="E18" s="11"/>
      <c r="F18" s="11"/>
      <c r="G18" s="18" t="n">
        <f aca="false">IF(AND(E18&gt;0,F18&gt;=0),E18-F18,0)</f>
        <v>0</v>
      </c>
      <c r="H18" s="17" t="n">
        <f aca="false">IF(E18&gt;0,G18/E18*100,0)</f>
        <v>0</v>
      </c>
      <c r="I18" s="18" t="n">
        <f aca="false">G18*$E$3</f>
        <v>0</v>
      </c>
      <c r="J18" s="18" t="n">
        <f aca="false">G18*12</f>
        <v>0</v>
      </c>
      <c r="K18" s="18" t="n">
        <f aca="false">I18*12</f>
        <v>0</v>
      </c>
      <c r="L18" s="19"/>
      <c r="M18" s="19"/>
    </row>
    <row r="19" customFormat="false" ht="15" hidden="false" customHeight="false" outlineLevel="0" collapsed="false">
      <c r="A19" s="13" t="n">
        <v>14</v>
      </c>
      <c r="B19" s="19"/>
      <c r="C19" s="19"/>
      <c r="D19" s="19"/>
      <c r="E19" s="11"/>
      <c r="F19" s="11"/>
      <c r="G19" s="18" t="n">
        <f aca="false">IF(AND(E19&gt;0,F19&gt;=0),E19-F19,0)</f>
        <v>0</v>
      </c>
      <c r="H19" s="17" t="n">
        <f aca="false">IF(E19&gt;0,G19/E19*100,0)</f>
        <v>0</v>
      </c>
      <c r="I19" s="18" t="n">
        <f aca="false">G19*$E$3</f>
        <v>0</v>
      </c>
      <c r="J19" s="18" t="n">
        <f aca="false">G19*12</f>
        <v>0</v>
      </c>
      <c r="K19" s="18" t="n">
        <f aca="false">I19*12</f>
        <v>0</v>
      </c>
      <c r="L19" s="19"/>
      <c r="M19" s="19"/>
    </row>
    <row r="20" customFormat="false" ht="15" hidden="false" customHeight="false" outlineLevel="0" collapsed="false">
      <c r="A20" s="13" t="n">
        <v>15</v>
      </c>
      <c r="B20" s="19"/>
      <c r="C20" s="19"/>
      <c r="D20" s="19"/>
      <c r="E20" s="11"/>
      <c r="F20" s="11"/>
      <c r="G20" s="18" t="n">
        <f aca="false">IF(AND(E20&gt;0,F20&gt;=0),E20-F20,0)</f>
        <v>0</v>
      </c>
      <c r="H20" s="17" t="n">
        <f aca="false">IF(E20&gt;0,G20/E20*100,0)</f>
        <v>0</v>
      </c>
      <c r="I20" s="18" t="n">
        <f aca="false">G20*$E$3</f>
        <v>0</v>
      </c>
      <c r="J20" s="18" t="n">
        <f aca="false">G20*12</f>
        <v>0</v>
      </c>
      <c r="K20" s="18" t="n">
        <f aca="false">I20*12</f>
        <v>0</v>
      </c>
      <c r="L20" s="19"/>
      <c r="M20" s="19"/>
    </row>
    <row r="21" customFormat="false" ht="15" hidden="false" customHeight="false" outlineLevel="0" collapsed="false">
      <c r="A21" s="13" t="n">
        <v>16</v>
      </c>
      <c r="B21" s="19"/>
      <c r="C21" s="19"/>
      <c r="D21" s="19"/>
      <c r="E21" s="11"/>
      <c r="F21" s="11"/>
      <c r="G21" s="18" t="n">
        <f aca="false">IF(AND(E21&gt;0,F21&gt;=0),E21-F21,0)</f>
        <v>0</v>
      </c>
      <c r="H21" s="17" t="n">
        <f aca="false">IF(E21&gt;0,G21/E21*100,0)</f>
        <v>0</v>
      </c>
      <c r="I21" s="18" t="n">
        <f aca="false">G21*$E$3</f>
        <v>0</v>
      </c>
      <c r="J21" s="18" t="n">
        <f aca="false">G21*12</f>
        <v>0</v>
      </c>
      <c r="K21" s="18" t="n">
        <f aca="false">I21*12</f>
        <v>0</v>
      </c>
      <c r="L21" s="19"/>
      <c r="M21" s="19"/>
    </row>
    <row r="22" customFormat="false" ht="15" hidden="false" customHeight="false" outlineLevel="0" collapsed="false">
      <c r="A22" s="13" t="n">
        <v>17</v>
      </c>
      <c r="B22" s="19"/>
      <c r="C22" s="19"/>
      <c r="D22" s="19"/>
      <c r="E22" s="11"/>
      <c r="F22" s="11"/>
      <c r="G22" s="18" t="n">
        <f aca="false">IF(AND(E22&gt;0,F22&gt;=0),E22-F22,0)</f>
        <v>0</v>
      </c>
      <c r="H22" s="17" t="n">
        <f aca="false">IF(E22&gt;0,G22/E22*100,0)</f>
        <v>0</v>
      </c>
      <c r="I22" s="18" t="n">
        <f aca="false">G22*$E$3</f>
        <v>0</v>
      </c>
      <c r="J22" s="18" t="n">
        <f aca="false">G22*12</f>
        <v>0</v>
      </c>
      <c r="K22" s="18" t="n">
        <f aca="false">I22*12</f>
        <v>0</v>
      </c>
      <c r="L22" s="19"/>
      <c r="M22" s="19"/>
    </row>
    <row r="23" customFormat="false" ht="15" hidden="false" customHeight="false" outlineLevel="0" collapsed="false">
      <c r="A23" s="13" t="n">
        <v>18</v>
      </c>
      <c r="B23" s="19"/>
      <c r="C23" s="19"/>
      <c r="D23" s="19"/>
      <c r="E23" s="11"/>
      <c r="F23" s="11"/>
      <c r="G23" s="18" t="n">
        <f aca="false">IF(AND(E23&gt;0,F23&gt;=0),E23-F23,0)</f>
        <v>0</v>
      </c>
      <c r="H23" s="17" t="n">
        <f aca="false">IF(E23&gt;0,G23/E23*100,0)</f>
        <v>0</v>
      </c>
      <c r="I23" s="18" t="n">
        <f aca="false">G23*$E$3</f>
        <v>0</v>
      </c>
      <c r="J23" s="18" t="n">
        <f aca="false">G23*12</f>
        <v>0</v>
      </c>
      <c r="K23" s="18" t="n">
        <f aca="false">I23*12</f>
        <v>0</v>
      </c>
      <c r="L23" s="19"/>
      <c r="M23" s="19"/>
    </row>
    <row r="24" customFormat="false" ht="15" hidden="false" customHeight="false" outlineLevel="0" collapsed="false">
      <c r="A24" s="13" t="n">
        <v>19</v>
      </c>
      <c r="B24" s="19"/>
      <c r="C24" s="19"/>
      <c r="D24" s="19"/>
      <c r="E24" s="11"/>
      <c r="F24" s="11"/>
      <c r="G24" s="18" t="n">
        <f aca="false">IF(AND(E24&gt;0,F24&gt;=0),E24-F24,0)</f>
        <v>0</v>
      </c>
      <c r="H24" s="17" t="n">
        <f aca="false">IF(E24&gt;0,G24/E24*100,0)</f>
        <v>0</v>
      </c>
      <c r="I24" s="18" t="n">
        <f aca="false">G24*$E$3</f>
        <v>0</v>
      </c>
      <c r="J24" s="18" t="n">
        <f aca="false">G24*12</f>
        <v>0</v>
      </c>
      <c r="K24" s="18" t="n">
        <f aca="false">I24*12</f>
        <v>0</v>
      </c>
      <c r="L24" s="19"/>
      <c r="M24" s="19"/>
    </row>
    <row r="25" customFormat="false" ht="15" hidden="false" customHeight="false" outlineLevel="0" collapsed="false">
      <c r="A25" s="13" t="n">
        <v>20</v>
      </c>
      <c r="B25" s="19"/>
      <c r="C25" s="19"/>
      <c r="D25" s="19"/>
      <c r="E25" s="11"/>
      <c r="F25" s="11"/>
      <c r="G25" s="18" t="n">
        <f aca="false">IF(AND(E25&gt;0,F25&gt;=0),E25-F25,0)</f>
        <v>0</v>
      </c>
      <c r="H25" s="17" t="n">
        <f aca="false">IF(E25&gt;0,G25/E25*100,0)</f>
        <v>0</v>
      </c>
      <c r="I25" s="18" t="n">
        <f aca="false">G25*$E$3</f>
        <v>0</v>
      </c>
      <c r="J25" s="18" t="n">
        <f aca="false">G25*12</f>
        <v>0</v>
      </c>
      <c r="K25" s="18" t="n">
        <f aca="false">I25*12</f>
        <v>0</v>
      </c>
      <c r="L25" s="19"/>
      <c r="M25" s="19"/>
    </row>
    <row r="26" customFormat="false" ht="25.5" hidden="false" customHeight="true" outlineLevel="0" collapsed="false">
      <c r="A26" s="20" t="s">
        <v>68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customFormat="false" ht="17.35" hidden="false" customHeight="true" outlineLevel="0" collapsed="false">
      <c r="A27" s="21" t="s">
        <v>69</v>
      </c>
      <c r="B27" s="21"/>
      <c r="C27" s="21"/>
      <c r="D27" s="21"/>
      <c r="E27" s="22" t="n">
        <f aca="false">SUM(E6:E25)</f>
        <v>28500</v>
      </c>
      <c r="F27" s="22" t="n">
        <f aca="false">SUM(F6:F25)</f>
        <v>18650</v>
      </c>
      <c r="G27" s="23" t="n">
        <f aca="false">SUM(G6:G25)</f>
        <v>9850</v>
      </c>
      <c r="H27" s="24" t="n">
        <f aca="false">IF(E27&gt;0,G27/E27*100,0)</f>
        <v>34.5614035087719</v>
      </c>
      <c r="I27" s="23" t="n">
        <f aca="false">SUM(I6:I25)</f>
        <v>78800</v>
      </c>
      <c r="J27" s="22" t="n">
        <f aca="false">SUM(J6:J25)</f>
        <v>118200</v>
      </c>
      <c r="K27" s="22" t="n">
        <f aca="false">SUM(K6:K25)</f>
        <v>945600</v>
      </c>
      <c r="L27" s="25"/>
      <c r="M27" s="25"/>
    </row>
    <row r="29" customFormat="false" ht="25.5" hidden="false" customHeight="true" outlineLevel="0" collapsed="false">
      <c r="A29" s="2" t="s">
        <v>70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23.85" hidden="false" customHeight="false" outlineLevel="0" collapsed="false">
      <c r="A30" s="3"/>
      <c r="B30" s="3" t="s">
        <v>71</v>
      </c>
      <c r="C30" s="3"/>
      <c r="D30" s="3" t="s">
        <v>72</v>
      </c>
      <c r="E30" s="3"/>
      <c r="F30" s="3"/>
      <c r="G30" s="3" t="s">
        <v>73</v>
      </c>
      <c r="H30" s="3" t="s">
        <v>74</v>
      </c>
      <c r="I30" s="3" t="s">
        <v>75</v>
      </c>
      <c r="J30" s="3" t="s">
        <v>76</v>
      </c>
      <c r="K30" s="3" t="s">
        <v>77</v>
      </c>
      <c r="L30" s="3"/>
      <c r="M30" s="3" t="s">
        <v>78</v>
      </c>
    </row>
    <row r="31" customFormat="false" ht="15" hidden="false" customHeight="true" outlineLevel="0" collapsed="false">
      <c r="A31" s="26" t="s">
        <v>51</v>
      </c>
      <c r="B31" s="26"/>
      <c r="C31" s="26"/>
      <c r="D31" s="27" t="n">
        <f aca="false">COUNTIF(C6:C25,"Behavioural")</f>
        <v>1</v>
      </c>
      <c r="E31" s="28"/>
      <c r="F31" s="28"/>
      <c r="G31" s="29" t="n">
        <f aca="false">SUMPRODUCT((C6:C25="Behavioural")*G6:G25)</f>
        <v>500</v>
      </c>
      <c r="H31" s="28"/>
      <c r="I31" s="29" t="n">
        <f aca="false">SUMPRODUCT((C6:C25="Behavioural")*I6:I25)</f>
        <v>4000</v>
      </c>
      <c r="J31" s="29" t="n">
        <f aca="false">G31*12</f>
        <v>6000</v>
      </c>
      <c r="K31" s="29" t="n">
        <f aca="false">I31*12</f>
        <v>48000</v>
      </c>
      <c r="L31" s="28"/>
      <c r="M31" s="30" t="n">
        <f aca="false">IF(G27&gt;0,G31/G27*100,0)</f>
        <v>5.0761421319797</v>
      </c>
    </row>
    <row r="32" customFormat="false" ht="15" hidden="false" customHeight="true" outlineLevel="0" collapsed="false">
      <c r="A32" s="26" t="s">
        <v>54</v>
      </c>
      <c r="B32" s="26"/>
      <c r="C32" s="26"/>
      <c r="D32" s="27" t="n">
        <f aca="false">COUNTIF(C6:C25,"Technology")</f>
        <v>4</v>
      </c>
      <c r="E32" s="28"/>
      <c r="F32" s="28"/>
      <c r="G32" s="29" t="n">
        <f aca="false">SUMPRODUCT((C6:C25="Technology")*G6:G25)</f>
        <v>5150</v>
      </c>
      <c r="H32" s="28"/>
      <c r="I32" s="29" t="n">
        <f aca="false">SUMPRODUCT((C6:C25="Technology")*I6:I25)</f>
        <v>41200</v>
      </c>
      <c r="J32" s="29" t="n">
        <f aca="false">G32*12</f>
        <v>61800</v>
      </c>
      <c r="K32" s="29" t="n">
        <f aca="false">I32*12</f>
        <v>494400</v>
      </c>
      <c r="L32" s="28"/>
      <c r="M32" s="30" t="n">
        <f aca="false">IF(G27&gt;0,G32/G27*100,0)</f>
        <v>52.2842639593909</v>
      </c>
    </row>
    <row r="33" customFormat="false" ht="15" hidden="false" customHeight="true" outlineLevel="0" collapsed="false">
      <c r="A33" s="26" t="s">
        <v>57</v>
      </c>
      <c r="B33" s="26"/>
      <c r="C33" s="26"/>
      <c r="D33" s="27" t="n">
        <f aca="false">COUNTIF(C6:C25,"Maintenance")</f>
        <v>1</v>
      </c>
      <c r="E33" s="28"/>
      <c r="F33" s="28"/>
      <c r="G33" s="29" t="n">
        <f aca="false">SUMPRODUCT((C6:C25="Maintenance")*G6:G25)</f>
        <v>1200</v>
      </c>
      <c r="H33" s="28"/>
      <c r="I33" s="29" t="n">
        <f aca="false">SUMPRODUCT((C6:C25="Maintenance")*I6:I25)</f>
        <v>9600</v>
      </c>
      <c r="J33" s="29" t="n">
        <f aca="false">G33*12</f>
        <v>14400</v>
      </c>
      <c r="K33" s="29" t="n">
        <f aca="false">I33*12</f>
        <v>115200</v>
      </c>
      <c r="L33" s="28"/>
      <c r="M33" s="30" t="n">
        <f aca="false">IF(G27&gt;0,G33/G27*100,0)</f>
        <v>12.1827411167513</v>
      </c>
    </row>
    <row r="34" customFormat="false" ht="15" hidden="false" customHeight="true" outlineLevel="0" collapsed="false">
      <c r="A34" s="26" t="s">
        <v>66</v>
      </c>
      <c r="B34" s="26"/>
      <c r="C34" s="26"/>
      <c r="D34" s="27" t="n">
        <f aca="false">COUNTIF(C6:C25,"Renewable")</f>
        <v>1</v>
      </c>
      <c r="E34" s="28"/>
      <c r="F34" s="28"/>
      <c r="G34" s="29" t="n">
        <f aca="false">SUMPRODUCT((C6:C25="Renewable")*G6:G25)</f>
        <v>3000</v>
      </c>
      <c r="H34" s="28"/>
      <c r="I34" s="29" t="n">
        <f aca="false">SUMPRODUCT((C6:C25="Renewable")*I6:I25)</f>
        <v>24000</v>
      </c>
      <c r="J34" s="29" t="n">
        <f aca="false">G34*12</f>
        <v>36000</v>
      </c>
      <c r="K34" s="29" t="n">
        <f aca="false">I34*12</f>
        <v>288000</v>
      </c>
      <c r="L34" s="28"/>
      <c r="M34" s="30" t="n">
        <f aca="false">IF(G27&gt;0,G34/G27*100,0)</f>
        <v>30.4568527918782</v>
      </c>
    </row>
    <row r="36" customFormat="false" ht="25.5" hidden="false" customHeight="true" outlineLevel="0" collapsed="false">
      <c r="A36" s="31" t="s">
        <v>79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customFormat="false" ht="15" hidden="false" customHeight="true" outlineLevel="0" collapsed="false">
      <c r="A37" s="8" t="s">
        <v>80</v>
      </c>
      <c r="B37" s="8"/>
      <c r="C37" s="8"/>
      <c r="D37" s="8"/>
      <c r="E37" s="7" t="n">
        <f aca="false">COUNTIF(L6:L25,"Implemented")</f>
        <v>0</v>
      </c>
      <c r="F37" s="32"/>
      <c r="G37" s="33" t="n">
        <f aca="false">SUMPRODUCT((L6:L25="Implemented")*G6:G25)</f>
        <v>0</v>
      </c>
      <c r="H37" s="32"/>
      <c r="I37" s="33" t="n">
        <f aca="false">SUMPRODUCT((L6:L25="Implemented")*I6:I25)</f>
        <v>0</v>
      </c>
      <c r="J37" s="32"/>
      <c r="K37" s="32"/>
      <c r="L37" s="32"/>
      <c r="M37" s="32"/>
    </row>
    <row r="38" customFormat="false" ht="15" hidden="false" customHeight="true" outlineLevel="0" collapsed="false">
      <c r="A38" s="5" t="s">
        <v>81</v>
      </c>
      <c r="B38" s="5"/>
      <c r="C38" s="5"/>
      <c r="D38" s="5"/>
      <c r="E38" s="4" t="n">
        <f aca="false">COUNTIF(L6:L25,"Partial")</f>
        <v>0</v>
      </c>
      <c r="F38" s="34"/>
      <c r="G38" s="35" t="n">
        <f aca="false">SUMPRODUCT((L6:L25="Partial")*G6:G25)</f>
        <v>0</v>
      </c>
      <c r="H38" s="34"/>
      <c r="I38" s="35" t="n">
        <f aca="false">SUMPRODUCT((L6:L25="Partial")*I6:I25)</f>
        <v>0</v>
      </c>
      <c r="J38" s="34"/>
      <c r="K38" s="34"/>
      <c r="L38" s="34"/>
      <c r="M38" s="34"/>
    </row>
    <row r="39" customFormat="false" ht="15" hidden="false" customHeight="true" outlineLevel="0" collapsed="false">
      <c r="A39" s="8" t="s">
        <v>82</v>
      </c>
      <c r="B39" s="8"/>
      <c r="C39" s="8"/>
      <c r="D39" s="8"/>
      <c r="E39" s="7" t="n">
        <f aca="false">COUNTIF(L6:L25,"Planned")</f>
        <v>0</v>
      </c>
      <c r="F39" s="32"/>
      <c r="G39" s="33" t="n">
        <f aca="false">SUMPRODUCT((L6:L25="Planned")*G6:G25)</f>
        <v>0</v>
      </c>
      <c r="H39" s="32"/>
      <c r="I39" s="33" t="n">
        <f aca="false">SUMPRODUCT((L6:L25="Planned")*I6:I25)</f>
        <v>0</v>
      </c>
      <c r="J39" s="32"/>
      <c r="K39" s="32"/>
      <c r="L39" s="32"/>
      <c r="M39" s="32"/>
    </row>
  </sheetData>
  <mergeCells count="14">
    <mergeCell ref="A1:M1"/>
    <mergeCell ref="A2:M2"/>
    <mergeCell ref="A3:D3"/>
    <mergeCell ref="A26:M26"/>
    <mergeCell ref="A27:D27"/>
    <mergeCell ref="A29:M29"/>
    <mergeCell ref="A31:C31"/>
    <mergeCell ref="A32:C32"/>
    <mergeCell ref="A33:C33"/>
    <mergeCell ref="A34:C34"/>
    <mergeCell ref="A36:M36"/>
    <mergeCell ref="A37:D37"/>
    <mergeCell ref="A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9" min="5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6" t="s">
        <v>83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25.5" hidden="false" customHeight="true" outlineLevel="0" collapsed="false">
      <c r="A2" s="37" t="s">
        <v>84</v>
      </c>
      <c r="B2" s="37"/>
      <c r="C2" s="37"/>
      <c r="D2" s="37"/>
      <c r="E2" s="37"/>
      <c r="F2" s="37"/>
      <c r="G2" s="37"/>
      <c r="H2" s="37"/>
      <c r="I2" s="37"/>
      <c r="J2" s="37"/>
    </row>
    <row r="3" customFormat="false" ht="23.85" hidden="false" customHeight="false" outlineLevel="0" collapsed="false">
      <c r="A3" s="38" t="s">
        <v>38</v>
      </c>
      <c r="B3" s="38" t="s">
        <v>85</v>
      </c>
      <c r="C3" s="38" t="s">
        <v>86</v>
      </c>
      <c r="D3" s="38" t="s">
        <v>71</v>
      </c>
      <c r="E3" s="38" t="s">
        <v>87</v>
      </c>
      <c r="F3" s="38" t="s">
        <v>88</v>
      </c>
      <c r="G3" s="38" t="s">
        <v>89</v>
      </c>
      <c r="H3" s="38" t="s">
        <v>44</v>
      </c>
      <c r="I3" s="38" t="s">
        <v>90</v>
      </c>
      <c r="J3" s="38" t="s">
        <v>91</v>
      </c>
    </row>
    <row r="4" customFormat="false" ht="15" hidden="false" customHeight="false" outlineLevel="0" collapsed="false">
      <c r="A4" s="13" t="n">
        <v>1</v>
      </c>
      <c r="B4" s="19"/>
      <c r="C4" s="19"/>
      <c r="D4" s="19"/>
      <c r="E4" s="11"/>
      <c r="F4" s="11"/>
      <c r="G4" s="18" t="n">
        <f aca="false">IF(AND(E4&gt;0,F4&gt;=0),E4-F4,0)</f>
        <v>0</v>
      </c>
      <c r="H4" s="17" t="n">
        <f aca="false">IF(E4&gt;0,G4/E4*100,0)</f>
        <v>0</v>
      </c>
      <c r="I4" s="18" t="n">
        <f aca="false">G4*'2. Savings Tracker'!$E$3</f>
        <v>0</v>
      </c>
      <c r="J4" s="19"/>
    </row>
    <row r="5" customFormat="false" ht="15" hidden="false" customHeight="false" outlineLevel="0" collapsed="false">
      <c r="A5" s="13" t="n">
        <v>2</v>
      </c>
      <c r="B5" s="19"/>
      <c r="C5" s="19"/>
      <c r="D5" s="19"/>
      <c r="E5" s="11"/>
      <c r="F5" s="11"/>
      <c r="G5" s="18" t="n">
        <f aca="false">IF(AND(E5&gt;0,F5&gt;=0),E5-F5,0)</f>
        <v>0</v>
      </c>
      <c r="H5" s="17" t="n">
        <f aca="false">IF(E5&gt;0,G5/E5*100,0)</f>
        <v>0</v>
      </c>
      <c r="I5" s="18" t="n">
        <f aca="false">G5*'2. Savings Tracker'!$E$3</f>
        <v>0</v>
      </c>
      <c r="J5" s="19"/>
    </row>
    <row r="6" customFormat="false" ht="15" hidden="false" customHeight="false" outlineLevel="0" collapsed="false">
      <c r="A6" s="13" t="n">
        <v>3</v>
      </c>
      <c r="B6" s="19"/>
      <c r="C6" s="19"/>
      <c r="D6" s="19"/>
      <c r="E6" s="11"/>
      <c r="F6" s="11"/>
      <c r="G6" s="18" t="n">
        <f aca="false">IF(AND(E6&gt;0,F6&gt;=0),E6-F6,0)</f>
        <v>0</v>
      </c>
      <c r="H6" s="17" t="n">
        <f aca="false">IF(E6&gt;0,G6/E6*100,0)</f>
        <v>0</v>
      </c>
      <c r="I6" s="18" t="n">
        <f aca="false">G6*'2. Savings Tracker'!$E$3</f>
        <v>0</v>
      </c>
      <c r="J6" s="19"/>
    </row>
    <row r="7" customFormat="false" ht="15" hidden="false" customHeight="false" outlineLevel="0" collapsed="false">
      <c r="A7" s="13" t="n">
        <v>4</v>
      </c>
      <c r="B7" s="19"/>
      <c r="C7" s="19"/>
      <c r="D7" s="19"/>
      <c r="E7" s="11"/>
      <c r="F7" s="11"/>
      <c r="G7" s="18" t="n">
        <f aca="false">IF(AND(E7&gt;0,F7&gt;=0),E7-F7,0)</f>
        <v>0</v>
      </c>
      <c r="H7" s="17" t="n">
        <f aca="false">IF(E7&gt;0,G7/E7*100,0)</f>
        <v>0</v>
      </c>
      <c r="I7" s="18" t="n">
        <f aca="false">G7*'2. Savings Tracker'!$E$3</f>
        <v>0</v>
      </c>
      <c r="J7" s="19"/>
    </row>
    <row r="8" customFormat="false" ht="15" hidden="false" customHeight="false" outlineLevel="0" collapsed="false">
      <c r="A8" s="13" t="n">
        <v>5</v>
      </c>
      <c r="B8" s="19"/>
      <c r="C8" s="19"/>
      <c r="D8" s="19"/>
      <c r="E8" s="11"/>
      <c r="F8" s="11"/>
      <c r="G8" s="18" t="n">
        <f aca="false">IF(AND(E8&gt;0,F8&gt;=0),E8-F8,0)</f>
        <v>0</v>
      </c>
      <c r="H8" s="17" t="n">
        <f aca="false">IF(E8&gt;0,G8/E8*100,0)</f>
        <v>0</v>
      </c>
      <c r="I8" s="18" t="n">
        <f aca="false">G8*'2. Savings Tracker'!$E$3</f>
        <v>0</v>
      </c>
      <c r="J8" s="19"/>
    </row>
    <row r="9" customFormat="false" ht="15" hidden="false" customHeight="false" outlineLevel="0" collapsed="false">
      <c r="A9" s="13" t="n">
        <v>6</v>
      </c>
      <c r="B9" s="19"/>
      <c r="C9" s="19"/>
      <c r="D9" s="19"/>
      <c r="E9" s="11"/>
      <c r="F9" s="11"/>
      <c r="G9" s="18" t="n">
        <f aca="false">IF(AND(E9&gt;0,F9&gt;=0),E9-F9,0)</f>
        <v>0</v>
      </c>
      <c r="H9" s="17" t="n">
        <f aca="false">IF(E9&gt;0,G9/E9*100,0)</f>
        <v>0</v>
      </c>
      <c r="I9" s="18" t="n">
        <f aca="false">G9*'2. Savings Tracker'!$E$3</f>
        <v>0</v>
      </c>
      <c r="J9" s="19"/>
    </row>
    <row r="10" customFormat="false" ht="15" hidden="false" customHeight="false" outlineLevel="0" collapsed="false">
      <c r="A10" s="13" t="n">
        <v>7</v>
      </c>
      <c r="B10" s="19"/>
      <c r="C10" s="19"/>
      <c r="D10" s="19"/>
      <c r="E10" s="11"/>
      <c r="F10" s="11"/>
      <c r="G10" s="18" t="n">
        <f aca="false">IF(AND(E10&gt;0,F10&gt;=0),E10-F10,0)</f>
        <v>0</v>
      </c>
      <c r="H10" s="17" t="n">
        <f aca="false">IF(E10&gt;0,G10/E10*100,0)</f>
        <v>0</v>
      </c>
      <c r="I10" s="18" t="n">
        <f aca="false">G10*'2. Savings Tracker'!$E$3</f>
        <v>0</v>
      </c>
      <c r="J10" s="19"/>
    </row>
    <row r="11" customFormat="false" ht="15" hidden="false" customHeight="false" outlineLevel="0" collapsed="false">
      <c r="A11" s="13" t="n">
        <v>8</v>
      </c>
      <c r="B11" s="19"/>
      <c r="C11" s="19"/>
      <c r="D11" s="19"/>
      <c r="E11" s="11"/>
      <c r="F11" s="11"/>
      <c r="G11" s="18" t="n">
        <f aca="false">IF(AND(E11&gt;0,F11&gt;=0),E11-F11,0)</f>
        <v>0</v>
      </c>
      <c r="H11" s="17" t="n">
        <f aca="false">IF(E11&gt;0,G11/E11*100,0)</f>
        <v>0</v>
      </c>
      <c r="I11" s="18" t="n">
        <f aca="false">G11*'2. Savings Tracker'!$E$3</f>
        <v>0</v>
      </c>
      <c r="J11" s="19"/>
    </row>
    <row r="12" customFormat="false" ht="15" hidden="false" customHeight="false" outlineLevel="0" collapsed="false">
      <c r="A12" s="13" t="n">
        <v>9</v>
      </c>
      <c r="B12" s="19"/>
      <c r="C12" s="19"/>
      <c r="D12" s="19"/>
      <c r="E12" s="11"/>
      <c r="F12" s="11"/>
      <c r="G12" s="18" t="n">
        <f aca="false">IF(AND(E12&gt;0,F12&gt;=0),E12-F12,0)</f>
        <v>0</v>
      </c>
      <c r="H12" s="17" t="n">
        <f aca="false">IF(E12&gt;0,G12/E12*100,0)</f>
        <v>0</v>
      </c>
      <c r="I12" s="18" t="n">
        <f aca="false">G12*'2. Savings Tracker'!$E$3</f>
        <v>0</v>
      </c>
      <c r="J12" s="19"/>
    </row>
    <row r="13" customFormat="false" ht="15" hidden="false" customHeight="false" outlineLevel="0" collapsed="false">
      <c r="A13" s="13" t="n">
        <v>10</v>
      </c>
      <c r="B13" s="19"/>
      <c r="C13" s="19"/>
      <c r="D13" s="19"/>
      <c r="E13" s="11"/>
      <c r="F13" s="11"/>
      <c r="G13" s="18" t="n">
        <f aca="false">IF(AND(E13&gt;0,F13&gt;=0),E13-F13,0)</f>
        <v>0</v>
      </c>
      <c r="H13" s="17" t="n">
        <f aca="false">IF(E13&gt;0,G13/E13*100,0)</f>
        <v>0</v>
      </c>
      <c r="I13" s="18" t="n">
        <f aca="false">G13*'2. Savings Tracker'!$E$3</f>
        <v>0</v>
      </c>
      <c r="J13" s="19"/>
    </row>
    <row r="14" customFormat="false" ht="15" hidden="false" customHeight="false" outlineLevel="0" collapsed="false">
      <c r="A14" s="13" t="n">
        <v>11</v>
      </c>
      <c r="B14" s="19"/>
      <c r="C14" s="19"/>
      <c r="D14" s="19"/>
      <c r="E14" s="11"/>
      <c r="F14" s="11"/>
      <c r="G14" s="18" t="n">
        <f aca="false">IF(AND(E14&gt;0,F14&gt;=0),E14-F14,0)</f>
        <v>0</v>
      </c>
      <c r="H14" s="17" t="n">
        <f aca="false">IF(E14&gt;0,G14/E14*100,0)</f>
        <v>0</v>
      </c>
      <c r="I14" s="18" t="n">
        <f aca="false">G14*'2. Savings Tracker'!$E$3</f>
        <v>0</v>
      </c>
      <c r="J14" s="19"/>
    </row>
    <row r="15" customFormat="false" ht="15" hidden="false" customHeight="false" outlineLevel="0" collapsed="false">
      <c r="A15" s="13" t="n">
        <v>12</v>
      </c>
      <c r="B15" s="19"/>
      <c r="C15" s="19"/>
      <c r="D15" s="19"/>
      <c r="E15" s="11"/>
      <c r="F15" s="11"/>
      <c r="G15" s="18" t="n">
        <f aca="false">IF(AND(E15&gt;0,F15&gt;=0),E15-F15,0)</f>
        <v>0</v>
      </c>
      <c r="H15" s="17" t="n">
        <f aca="false">IF(E15&gt;0,G15/E15*100,0)</f>
        <v>0</v>
      </c>
      <c r="I15" s="18" t="n">
        <f aca="false">G15*'2. Savings Tracker'!$E$3</f>
        <v>0</v>
      </c>
      <c r="J15" s="19"/>
    </row>
    <row r="16" customFormat="false" ht="15" hidden="false" customHeight="false" outlineLevel="0" collapsed="false">
      <c r="A16" s="13" t="n">
        <v>13</v>
      </c>
      <c r="B16" s="19"/>
      <c r="C16" s="19"/>
      <c r="D16" s="19"/>
      <c r="E16" s="11"/>
      <c r="F16" s="11"/>
      <c r="G16" s="18" t="n">
        <f aca="false">IF(AND(E16&gt;0,F16&gt;=0),E16-F16,0)</f>
        <v>0</v>
      </c>
      <c r="H16" s="17" t="n">
        <f aca="false">IF(E16&gt;0,G16/E16*100,0)</f>
        <v>0</v>
      </c>
      <c r="I16" s="18" t="n">
        <f aca="false">G16*'2. Savings Tracker'!$E$3</f>
        <v>0</v>
      </c>
      <c r="J16" s="19"/>
    </row>
    <row r="17" customFormat="false" ht="15" hidden="false" customHeight="false" outlineLevel="0" collapsed="false">
      <c r="A17" s="13" t="n">
        <v>14</v>
      </c>
      <c r="B17" s="19"/>
      <c r="C17" s="19"/>
      <c r="D17" s="19"/>
      <c r="E17" s="11"/>
      <c r="F17" s="11"/>
      <c r="G17" s="18" t="n">
        <f aca="false">IF(AND(E17&gt;0,F17&gt;=0),E17-F17,0)</f>
        <v>0</v>
      </c>
      <c r="H17" s="17" t="n">
        <f aca="false">IF(E17&gt;0,G17/E17*100,0)</f>
        <v>0</v>
      </c>
      <c r="I17" s="18" t="n">
        <f aca="false">G17*'2. Savings Tracker'!$E$3</f>
        <v>0</v>
      </c>
      <c r="J17" s="19"/>
    </row>
    <row r="18" customFormat="false" ht="15" hidden="false" customHeight="false" outlineLevel="0" collapsed="false">
      <c r="A18" s="13" t="n">
        <v>15</v>
      </c>
      <c r="B18" s="19"/>
      <c r="C18" s="19"/>
      <c r="D18" s="19"/>
      <c r="E18" s="11"/>
      <c r="F18" s="11"/>
      <c r="G18" s="18" t="n">
        <f aca="false">IF(AND(E18&gt;0,F18&gt;=0),E18-F18,0)</f>
        <v>0</v>
      </c>
      <c r="H18" s="17" t="n">
        <f aca="false">IF(E18&gt;0,G18/E18*100,0)</f>
        <v>0</v>
      </c>
      <c r="I18" s="18" t="n">
        <f aca="false">G18*'2. Savings Tracker'!$E$3</f>
        <v>0</v>
      </c>
      <c r="J18" s="19"/>
    </row>
    <row r="19" customFormat="false" ht="15" hidden="false" customHeight="false" outlineLevel="0" collapsed="false">
      <c r="A19" s="13" t="n">
        <v>16</v>
      </c>
      <c r="B19" s="19"/>
      <c r="C19" s="19"/>
      <c r="D19" s="19"/>
      <c r="E19" s="11"/>
      <c r="F19" s="11"/>
      <c r="G19" s="18" t="n">
        <f aca="false">IF(AND(E19&gt;0,F19&gt;=0),E19-F19,0)</f>
        <v>0</v>
      </c>
      <c r="H19" s="17" t="n">
        <f aca="false">IF(E19&gt;0,G19/E19*100,0)</f>
        <v>0</v>
      </c>
      <c r="I19" s="18" t="n">
        <f aca="false">G19*'2. Savings Tracker'!$E$3</f>
        <v>0</v>
      </c>
      <c r="J19" s="19"/>
    </row>
    <row r="20" customFormat="false" ht="15" hidden="false" customHeight="false" outlineLevel="0" collapsed="false">
      <c r="A20" s="13" t="n">
        <v>17</v>
      </c>
      <c r="B20" s="19"/>
      <c r="C20" s="19"/>
      <c r="D20" s="19"/>
      <c r="E20" s="11"/>
      <c r="F20" s="11"/>
      <c r="G20" s="18" t="n">
        <f aca="false">IF(AND(E20&gt;0,F20&gt;=0),E20-F20,0)</f>
        <v>0</v>
      </c>
      <c r="H20" s="17" t="n">
        <f aca="false">IF(E20&gt;0,G20/E20*100,0)</f>
        <v>0</v>
      </c>
      <c r="I20" s="18" t="n">
        <f aca="false">G20*'2. Savings Tracker'!$E$3</f>
        <v>0</v>
      </c>
      <c r="J20" s="19"/>
    </row>
    <row r="21" customFormat="false" ht="15" hidden="false" customHeight="false" outlineLevel="0" collapsed="false">
      <c r="A21" s="13" t="n">
        <v>18</v>
      </c>
      <c r="B21" s="19"/>
      <c r="C21" s="19"/>
      <c r="D21" s="19"/>
      <c r="E21" s="11"/>
      <c r="F21" s="11"/>
      <c r="G21" s="18" t="n">
        <f aca="false">IF(AND(E21&gt;0,F21&gt;=0),E21-F21,0)</f>
        <v>0</v>
      </c>
      <c r="H21" s="17" t="n">
        <f aca="false">IF(E21&gt;0,G21/E21*100,0)</f>
        <v>0</v>
      </c>
      <c r="I21" s="18" t="n">
        <f aca="false">G21*'2. Savings Tracker'!$E$3</f>
        <v>0</v>
      </c>
      <c r="J21" s="19"/>
    </row>
    <row r="22" customFormat="false" ht="15" hidden="false" customHeight="false" outlineLevel="0" collapsed="false">
      <c r="A22" s="13" t="n">
        <v>19</v>
      </c>
      <c r="B22" s="19"/>
      <c r="C22" s="19"/>
      <c r="D22" s="19"/>
      <c r="E22" s="11"/>
      <c r="F22" s="11"/>
      <c r="G22" s="18" t="n">
        <f aca="false">IF(AND(E22&gt;0,F22&gt;=0),E22-F22,0)</f>
        <v>0</v>
      </c>
      <c r="H22" s="17" t="n">
        <f aca="false">IF(E22&gt;0,G22/E22*100,0)</f>
        <v>0</v>
      </c>
      <c r="I22" s="18" t="n">
        <f aca="false">G22*'2. Savings Tracker'!$E$3</f>
        <v>0</v>
      </c>
      <c r="J22" s="19"/>
    </row>
    <row r="23" customFormat="false" ht="15" hidden="false" customHeight="false" outlineLevel="0" collapsed="false">
      <c r="A23" s="13" t="n">
        <v>20</v>
      </c>
      <c r="B23" s="19"/>
      <c r="C23" s="19"/>
      <c r="D23" s="19"/>
      <c r="E23" s="11"/>
      <c r="F23" s="11"/>
      <c r="G23" s="18" t="n">
        <f aca="false">IF(AND(E23&gt;0,F23&gt;=0),E23-F23,0)</f>
        <v>0</v>
      </c>
      <c r="H23" s="17" t="n">
        <f aca="false">IF(E23&gt;0,G23/E23*100,0)</f>
        <v>0</v>
      </c>
      <c r="I23" s="18" t="n">
        <f aca="false">G23*'2. Savings Tracker'!$E$3</f>
        <v>0</v>
      </c>
      <c r="J23" s="19"/>
    </row>
    <row r="24" customFormat="false" ht="15" hidden="false" customHeight="false" outlineLevel="0" collapsed="false">
      <c r="A24" s="13" t="n">
        <v>21</v>
      </c>
      <c r="B24" s="19"/>
      <c r="C24" s="19"/>
      <c r="D24" s="19"/>
      <c r="E24" s="11"/>
      <c r="F24" s="11"/>
      <c r="G24" s="18" t="n">
        <f aca="false">IF(AND(E24&gt;0,F24&gt;=0),E24-F24,0)</f>
        <v>0</v>
      </c>
      <c r="H24" s="17" t="n">
        <f aca="false">IF(E24&gt;0,G24/E24*100,0)</f>
        <v>0</v>
      </c>
      <c r="I24" s="18" t="n">
        <f aca="false">G24*'2. Savings Tracker'!$E$3</f>
        <v>0</v>
      </c>
      <c r="J24" s="19"/>
    </row>
    <row r="25" customFormat="false" ht="15" hidden="false" customHeight="false" outlineLevel="0" collapsed="false">
      <c r="A25" s="13" t="n">
        <v>22</v>
      </c>
      <c r="B25" s="19"/>
      <c r="C25" s="19"/>
      <c r="D25" s="19"/>
      <c r="E25" s="11"/>
      <c r="F25" s="11"/>
      <c r="G25" s="18" t="n">
        <f aca="false">IF(AND(E25&gt;0,F25&gt;=0),E25-F25,0)</f>
        <v>0</v>
      </c>
      <c r="H25" s="17" t="n">
        <f aca="false">IF(E25&gt;0,G25/E25*100,0)</f>
        <v>0</v>
      </c>
      <c r="I25" s="18" t="n">
        <f aca="false">G25*'2. Savings Tracker'!$E$3</f>
        <v>0</v>
      </c>
      <c r="J25" s="19"/>
    </row>
    <row r="26" customFormat="false" ht="15" hidden="false" customHeight="false" outlineLevel="0" collapsed="false">
      <c r="A26" s="13" t="n">
        <v>23</v>
      </c>
      <c r="B26" s="19"/>
      <c r="C26" s="19"/>
      <c r="D26" s="19"/>
      <c r="E26" s="11"/>
      <c r="F26" s="11"/>
      <c r="G26" s="18" t="n">
        <f aca="false">IF(AND(E26&gt;0,F26&gt;=0),E26-F26,0)</f>
        <v>0</v>
      </c>
      <c r="H26" s="17" t="n">
        <f aca="false">IF(E26&gt;0,G26/E26*100,0)</f>
        <v>0</v>
      </c>
      <c r="I26" s="18" t="n">
        <f aca="false">G26*'2. Savings Tracker'!$E$3</f>
        <v>0</v>
      </c>
      <c r="J26" s="19"/>
    </row>
    <row r="27" customFormat="false" ht="15" hidden="false" customHeight="false" outlineLevel="0" collapsed="false">
      <c r="A27" s="13" t="n">
        <v>24</v>
      </c>
      <c r="B27" s="19"/>
      <c r="C27" s="19"/>
      <c r="D27" s="19"/>
      <c r="E27" s="11"/>
      <c r="F27" s="11"/>
      <c r="G27" s="18" t="n">
        <f aca="false">IF(AND(E27&gt;0,F27&gt;=0),E27-F27,0)</f>
        <v>0</v>
      </c>
      <c r="H27" s="17" t="n">
        <f aca="false">IF(E27&gt;0,G27/E27*100,0)</f>
        <v>0</v>
      </c>
      <c r="I27" s="18" t="n">
        <f aca="false">G27*'2. Savings Tracker'!$E$3</f>
        <v>0</v>
      </c>
      <c r="J27" s="19"/>
    </row>
    <row r="28" customFormat="false" ht="15" hidden="false" customHeight="false" outlineLevel="0" collapsed="false">
      <c r="A28" s="13" t="n">
        <v>25</v>
      </c>
      <c r="B28" s="19"/>
      <c r="C28" s="19"/>
      <c r="D28" s="19"/>
      <c r="E28" s="11"/>
      <c r="F28" s="11"/>
      <c r="G28" s="18" t="n">
        <f aca="false">IF(AND(E28&gt;0,F28&gt;=0),E28-F28,0)</f>
        <v>0</v>
      </c>
      <c r="H28" s="17" t="n">
        <f aca="false">IF(E28&gt;0,G28/E28*100,0)</f>
        <v>0</v>
      </c>
      <c r="I28" s="18" t="n">
        <f aca="false">G28*'2. Savings Tracker'!$E$3</f>
        <v>0</v>
      </c>
      <c r="J28" s="19"/>
    </row>
    <row r="29" customFormat="false" ht="15" hidden="false" customHeight="false" outlineLevel="0" collapsed="false">
      <c r="A29" s="13" t="n">
        <v>26</v>
      </c>
      <c r="B29" s="19"/>
      <c r="C29" s="19"/>
      <c r="D29" s="19"/>
      <c r="E29" s="11"/>
      <c r="F29" s="11"/>
      <c r="G29" s="18" t="n">
        <f aca="false">IF(AND(E29&gt;0,F29&gt;=0),E29-F29,0)</f>
        <v>0</v>
      </c>
      <c r="H29" s="17" t="n">
        <f aca="false">IF(E29&gt;0,G29/E29*100,0)</f>
        <v>0</v>
      </c>
      <c r="I29" s="18" t="n">
        <f aca="false">G29*'2. Savings Tracker'!$E$3</f>
        <v>0</v>
      </c>
      <c r="J29" s="19"/>
    </row>
    <row r="30" customFormat="false" ht="15" hidden="false" customHeight="false" outlineLevel="0" collapsed="false">
      <c r="A30" s="13" t="n">
        <v>27</v>
      </c>
      <c r="B30" s="19"/>
      <c r="C30" s="19"/>
      <c r="D30" s="19"/>
      <c r="E30" s="11"/>
      <c r="F30" s="11"/>
      <c r="G30" s="18" t="n">
        <f aca="false">IF(AND(E30&gt;0,F30&gt;=0),E30-F30,0)</f>
        <v>0</v>
      </c>
      <c r="H30" s="17" t="n">
        <f aca="false">IF(E30&gt;0,G30/E30*100,0)</f>
        <v>0</v>
      </c>
      <c r="I30" s="18" t="n">
        <f aca="false">G30*'2. Savings Tracker'!$E$3</f>
        <v>0</v>
      </c>
      <c r="J30" s="19"/>
    </row>
    <row r="31" customFormat="false" ht="15" hidden="false" customHeight="false" outlineLevel="0" collapsed="false">
      <c r="A31" s="13" t="n">
        <v>28</v>
      </c>
      <c r="B31" s="19"/>
      <c r="C31" s="19"/>
      <c r="D31" s="19"/>
      <c r="E31" s="11"/>
      <c r="F31" s="11"/>
      <c r="G31" s="18" t="n">
        <f aca="false">IF(AND(E31&gt;0,F31&gt;=0),E31-F31,0)</f>
        <v>0</v>
      </c>
      <c r="H31" s="17" t="n">
        <f aca="false">IF(E31&gt;0,G31/E31*100,0)</f>
        <v>0</v>
      </c>
      <c r="I31" s="18" t="n">
        <f aca="false">G31*'2. Savings Tracker'!$E$3</f>
        <v>0</v>
      </c>
      <c r="J31" s="19"/>
    </row>
    <row r="32" customFormat="false" ht="15" hidden="false" customHeight="false" outlineLevel="0" collapsed="false">
      <c r="A32" s="13" t="n">
        <v>29</v>
      </c>
      <c r="B32" s="19"/>
      <c r="C32" s="19"/>
      <c r="D32" s="19"/>
      <c r="E32" s="11"/>
      <c r="F32" s="11"/>
      <c r="G32" s="18" t="n">
        <f aca="false">IF(AND(E32&gt;0,F32&gt;=0),E32-F32,0)</f>
        <v>0</v>
      </c>
      <c r="H32" s="17" t="n">
        <f aca="false">IF(E32&gt;0,G32/E32*100,0)</f>
        <v>0</v>
      </c>
      <c r="I32" s="18" t="n">
        <f aca="false">G32*'2. Savings Tracker'!$E$3</f>
        <v>0</v>
      </c>
      <c r="J32" s="19"/>
    </row>
    <row r="33" customFormat="false" ht="15" hidden="false" customHeight="false" outlineLevel="0" collapsed="false">
      <c r="A33" s="13" t="n">
        <v>30</v>
      </c>
      <c r="B33" s="19"/>
      <c r="C33" s="19"/>
      <c r="D33" s="19"/>
      <c r="E33" s="11"/>
      <c r="F33" s="11"/>
      <c r="G33" s="18" t="n">
        <f aca="false">IF(AND(E33&gt;0,F33&gt;=0),E33-F33,0)</f>
        <v>0</v>
      </c>
      <c r="H33" s="17" t="n">
        <f aca="false">IF(E33&gt;0,G33/E33*100,0)</f>
        <v>0</v>
      </c>
      <c r="I33" s="18" t="n">
        <f aca="false">G33*'2. Savings Tracker'!$E$3</f>
        <v>0</v>
      </c>
      <c r="J33" s="19"/>
    </row>
    <row r="34" customFormat="false" ht="15" hidden="false" customHeight="false" outlineLevel="0" collapsed="false">
      <c r="A34" s="13" t="n">
        <v>31</v>
      </c>
      <c r="B34" s="19"/>
      <c r="C34" s="19"/>
      <c r="D34" s="19"/>
      <c r="E34" s="11"/>
      <c r="F34" s="11"/>
      <c r="G34" s="18" t="n">
        <f aca="false">IF(AND(E34&gt;0,F34&gt;=0),E34-F34,0)</f>
        <v>0</v>
      </c>
      <c r="H34" s="17" t="n">
        <f aca="false">IF(E34&gt;0,G34/E34*100,0)</f>
        <v>0</v>
      </c>
      <c r="I34" s="18" t="n">
        <f aca="false">G34*'2. Savings Tracker'!$E$3</f>
        <v>0</v>
      </c>
      <c r="J34" s="19"/>
    </row>
    <row r="35" customFormat="false" ht="15" hidden="false" customHeight="false" outlineLevel="0" collapsed="false">
      <c r="A35" s="13" t="n">
        <v>32</v>
      </c>
      <c r="B35" s="19"/>
      <c r="C35" s="19"/>
      <c r="D35" s="19"/>
      <c r="E35" s="11"/>
      <c r="F35" s="11"/>
      <c r="G35" s="18" t="n">
        <f aca="false">IF(AND(E35&gt;0,F35&gt;=0),E35-F35,0)</f>
        <v>0</v>
      </c>
      <c r="H35" s="17" t="n">
        <f aca="false">IF(E35&gt;0,G35/E35*100,0)</f>
        <v>0</v>
      </c>
      <c r="I35" s="18" t="n">
        <f aca="false">G35*'2. Savings Tracker'!$E$3</f>
        <v>0</v>
      </c>
      <c r="J35" s="19"/>
    </row>
    <row r="36" customFormat="false" ht="15" hidden="false" customHeight="false" outlineLevel="0" collapsed="false">
      <c r="A36" s="13" t="n">
        <v>33</v>
      </c>
      <c r="B36" s="19"/>
      <c r="C36" s="19"/>
      <c r="D36" s="19"/>
      <c r="E36" s="11"/>
      <c r="F36" s="11"/>
      <c r="G36" s="18" t="n">
        <f aca="false">IF(AND(E36&gt;0,F36&gt;=0),E36-F36,0)</f>
        <v>0</v>
      </c>
      <c r="H36" s="17" t="n">
        <f aca="false">IF(E36&gt;0,G36/E36*100,0)</f>
        <v>0</v>
      </c>
      <c r="I36" s="18" t="n">
        <f aca="false">G36*'2. Savings Tracker'!$E$3</f>
        <v>0</v>
      </c>
      <c r="J36" s="19"/>
    </row>
    <row r="37" customFormat="false" ht="15" hidden="false" customHeight="false" outlineLevel="0" collapsed="false">
      <c r="A37" s="13" t="n">
        <v>34</v>
      </c>
      <c r="B37" s="19"/>
      <c r="C37" s="19"/>
      <c r="D37" s="19"/>
      <c r="E37" s="11"/>
      <c r="F37" s="11"/>
      <c r="G37" s="18" t="n">
        <f aca="false">IF(AND(E37&gt;0,F37&gt;=0),E37-F37,0)</f>
        <v>0</v>
      </c>
      <c r="H37" s="17" t="n">
        <f aca="false">IF(E37&gt;0,G37/E37*100,0)</f>
        <v>0</v>
      </c>
      <c r="I37" s="18" t="n">
        <f aca="false">G37*'2. Savings Tracker'!$E$3</f>
        <v>0</v>
      </c>
      <c r="J37" s="19"/>
    </row>
    <row r="38" customFormat="false" ht="15" hidden="false" customHeight="false" outlineLevel="0" collapsed="false">
      <c r="A38" s="13" t="n">
        <v>35</v>
      </c>
      <c r="B38" s="19"/>
      <c r="C38" s="19"/>
      <c r="D38" s="19"/>
      <c r="E38" s="11"/>
      <c r="F38" s="11"/>
      <c r="G38" s="18" t="n">
        <f aca="false">IF(AND(E38&gt;0,F38&gt;=0),E38-F38,0)</f>
        <v>0</v>
      </c>
      <c r="H38" s="17" t="n">
        <f aca="false">IF(E38&gt;0,G38/E38*100,0)</f>
        <v>0</v>
      </c>
      <c r="I38" s="18" t="n">
        <f aca="false">G38*'2. Savings Tracker'!$E$3</f>
        <v>0</v>
      </c>
      <c r="J38" s="19"/>
    </row>
    <row r="39" customFormat="false" ht="15" hidden="false" customHeight="false" outlineLevel="0" collapsed="false">
      <c r="A39" s="13" t="n">
        <v>36</v>
      </c>
      <c r="B39" s="19"/>
      <c r="C39" s="19"/>
      <c r="D39" s="19"/>
      <c r="E39" s="11"/>
      <c r="F39" s="11"/>
      <c r="G39" s="18" t="n">
        <f aca="false">IF(AND(E39&gt;0,F39&gt;=0),E39-F39,0)</f>
        <v>0</v>
      </c>
      <c r="H39" s="17" t="n">
        <f aca="false">IF(E39&gt;0,G39/E39*100,0)</f>
        <v>0</v>
      </c>
      <c r="I39" s="18" t="n">
        <f aca="false">G39*'2. Savings Tracker'!$E$3</f>
        <v>0</v>
      </c>
      <c r="J39" s="19"/>
    </row>
    <row r="40" customFormat="false" ht="15" hidden="false" customHeight="false" outlineLevel="0" collapsed="false">
      <c r="A40" s="13" t="n">
        <v>37</v>
      </c>
      <c r="B40" s="19"/>
      <c r="C40" s="19"/>
      <c r="D40" s="19"/>
      <c r="E40" s="11"/>
      <c r="F40" s="11"/>
      <c r="G40" s="18" t="n">
        <f aca="false">IF(AND(E40&gt;0,F40&gt;=0),E40-F40,0)</f>
        <v>0</v>
      </c>
      <c r="H40" s="17" t="n">
        <f aca="false">IF(E40&gt;0,G40/E40*100,0)</f>
        <v>0</v>
      </c>
      <c r="I40" s="18" t="n">
        <f aca="false">G40*'2. Savings Tracker'!$E$3</f>
        <v>0</v>
      </c>
      <c r="J40" s="19"/>
    </row>
    <row r="41" customFormat="false" ht="15" hidden="false" customHeight="false" outlineLevel="0" collapsed="false">
      <c r="A41" s="13" t="n">
        <v>38</v>
      </c>
      <c r="B41" s="19"/>
      <c r="C41" s="19"/>
      <c r="D41" s="19"/>
      <c r="E41" s="11"/>
      <c r="F41" s="11"/>
      <c r="G41" s="18" t="n">
        <f aca="false">IF(AND(E41&gt;0,F41&gt;=0),E41-F41,0)</f>
        <v>0</v>
      </c>
      <c r="H41" s="17" t="n">
        <f aca="false">IF(E41&gt;0,G41/E41*100,0)</f>
        <v>0</v>
      </c>
      <c r="I41" s="18" t="n">
        <f aca="false">G41*'2. Savings Tracker'!$E$3</f>
        <v>0</v>
      </c>
      <c r="J41" s="19"/>
    </row>
    <row r="42" customFormat="false" ht="15" hidden="false" customHeight="false" outlineLevel="0" collapsed="false">
      <c r="A42" s="13" t="n">
        <v>39</v>
      </c>
      <c r="B42" s="19"/>
      <c r="C42" s="19"/>
      <c r="D42" s="19"/>
      <c r="E42" s="11"/>
      <c r="F42" s="11"/>
      <c r="G42" s="18" t="n">
        <f aca="false">IF(AND(E42&gt;0,F42&gt;=0),E42-F42,0)</f>
        <v>0</v>
      </c>
      <c r="H42" s="17" t="n">
        <f aca="false">IF(E42&gt;0,G42/E42*100,0)</f>
        <v>0</v>
      </c>
      <c r="I42" s="18" t="n">
        <f aca="false">G42*'2. Savings Tracker'!$E$3</f>
        <v>0</v>
      </c>
      <c r="J42" s="19"/>
    </row>
    <row r="43" customFormat="false" ht="15" hidden="false" customHeight="false" outlineLevel="0" collapsed="false">
      <c r="A43" s="13" t="n">
        <v>40</v>
      </c>
      <c r="B43" s="19"/>
      <c r="C43" s="19"/>
      <c r="D43" s="19"/>
      <c r="E43" s="11"/>
      <c r="F43" s="11"/>
      <c r="G43" s="18" t="n">
        <f aca="false">IF(AND(E43&gt;0,F43&gt;=0),E43-F43,0)</f>
        <v>0</v>
      </c>
      <c r="H43" s="17" t="n">
        <f aca="false">IF(E43&gt;0,G43/E43*100,0)</f>
        <v>0</v>
      </c>
      <c r="I43" s="18" t="n">
        <f aca="false">G43*'2. Savings Tracker'!$E$3</f>
        <v>0</v>
      </c>
      <c r="J43" s="19"/>
    </row>
    <row r="44" customFormat="false" ht="15" hidden="false" customHeight="false" outlineLevel="0" collapsed="false">
      <c r="A44" s="13" t="n">
        <v>41</v>
      </c>
      <c r="B44" s="19"/>
      <c r="C44" s="19"/>
      <c r="D44" s="19"/>
      <c r="E44" s="11"/>
      <c r="F44" s="11"/>
      <c r="G44" s="18" t="n">
        <f aca="false">IF(AND(E44&gt;0,F44&gt;=0),E44-F44,0)</f>
        <v>0</v>
      </c>
      <c r="H44" s="17" t="n">
        <f aca="false">IF(E44&gt;0,G44/E44*100,0)</f>
        <v>0</v>
      </c>
      <c r="I44" s="18" t="n">
        <f aca="false">G44*'2. Savings Tracker'!$E$3</f>
        <v>0</v>
      </c>
      <c r="J44" s="19"/>
    </row>
    <row r="45" customFormat="false" ht="15" hidden="false" customHeight="false" outlineLevel="0" collapsed="false">
      <c r="A45" s="13" t="n">
        <v>42</v>
      </c>
      <c r="B45" s="19"/>
      <c r="C45" s="19"/>
      <c r="D45" s="19"/>
      <c r="E45" s="11"/>
      <c r="F45" s="11"/>
      <c r="G45" s="18" t="n">
        <f aca="false">IF(AND(E45&gt;0,F45&gt;=0),E45-F45,0)</f>
        <v>0</v>
      </c>
      <c r="H45" s="17" t="n">
        <f aca="false">IF(E45&gt;0,G45/E45*100,0)</f>
        <v>0</v>
      </c>
      <c r="I45" s="18" t="n">
        <f aca="false">G45*'2. Savings Tracker'!$E$3</f>
        <v>0</v>
      </c>
      <c r="J45" s="19"/>
    </row>
    <row r="46" customFormat="false" ht="15" hidden="false" customHeight="false" outlineLevel="0" collapsed="false">
      <c r="A46" s="13" t="n">
        <v>43</v>
      </c>
      <c r="B46" s="19"/>
      <c r="C46" s="19"/>
      <c r="D46" s="19"/>
      <c r="E46" s="11"/>
      <c r="F46" s="11"/>
      <c r="G46" s="18" t="n">
        <f aca="false">IF(AND(E46&gt;0,F46&gt;=0),E46-F46,0)</f>
        <v>0</v>
      </c>
      <c r="H46" s="17" t="n">
        <f aca="false">IF(E46&gt;0,G46/E46*100,0)</f>
        <v>0</v>
      </c>
      <c r="I46" s="18" t="n">
        <f aca="false">G46*'2. Savings Tracker'!$E$3</f>
        <v>0</v>
      </c>
      <c r="J46" s="19"/>
    </row>
    <row r="47" customFormat="false" ht="15" hidden="false" customHeight="false" outlineLevel="0" collapsed="false">
      <c r="A47" s="13" t="n">
        <v>44</v>
      </c>
      <c r="B47" s="19"/>
      <c r="C47" s="19"/>
      <c r="D47" s="19"/>
      <c r="E47" s="11"/>
      <c r="F47" s="11"/>
      <c r="G47" s="18" t="n">
        <f aca="false">IF(AND(E47&gt;0,F47&gt;=0),E47-F47,0)</f>
        <v>0</v>
      </c>
      <c r="H47" s="17" t="n">
        <f aca="false">IF(E47&gt;0,G47/E47*100,0)</f>
        <v>0</v>
      </c>
      <c r="I47" s="18" t="n">
        <f aca="false">G47*'2. Savings Tracker'!$E$3</f>
        <v>0</v>
      </c>
      <c r="J47" s="19"/>
    </row>
    <row r="48" customFormat="false" ht="15" hidden="false" customHeight="false" outlineLevel="0" collapsed="false">
      <c r="A48" s="13" t="n">
        <v>45</v>
      </c>
      <c r="B48" s="19"/>
      <c r="C48" s="19"/>
      <c r="D48" s="19"/>
      <c r="E48" s="11"/>
      <c r="F48" s="11"/>
      <c r="G48" s="18" t="n">
        <f aca="false">IF(AND(E48&gt;0,F48&gt;=0),E48-F48,0)</f>
        <v>0</v>
      </c>
      <c r="H48" s="17" t="n">
        <f aca="false">IF(E48&gt;0,G48/E48*100,0)</f>
        <v>0</v>
      </c>
      <c r="I48" s="18" t="n">
        <f aca="false">G48*'2. Savings Tracker'!$E$3</f>
        <v>0</v>
      </c>
      <c r="J48" s="19"/>
    </row>
    <row r="49" customFormat="false" ht="15" hidden="false" customHeight="false" outlineLevel="0" collapsed="false">
      <c r="A49" s="13" t="n">
        <v>46</v>
      </c>
      <c r="B49" s="19"/>
      <c r="C49" s="19"/>
      <c r="D49" s="19"/>
      <c r="E49" s="11"/>
      <c r="F49" s="11"/>
      <c r="G49" s="18" t="n">
        <f aca="false">IF(AND(E49&gt;0,F49&gt;=0),E49-F49,0)</f>
        <v>0</v>
      </c>
      <c r="H49" s="17" t="n">
        <f aca="false">IF(E49&gt;0,G49/E49*100,0)</f>
        <v>0</v>
      </c>
      <c r="I49" s="18" t="n">
        <f aca="false">G49*'2. Savings Tracker'!$E$3</f>
        <v>0</v>
      </c>
      <c r="J49" s="19"/>
    </row>
    <row r="50" customFormat="false" ht="15" hidden="false" customHeight="false" outlineLevel="0" collapsed="false">
      <c r="A50" s="13" t="n">
        <v>47</v>
      </c>
      <c r="B50" s="19"/>
      <c r="C50" s="19"/>
      <c r="D50" s="19"/>
      <c r="E50" s="11"/>
      <c r="F50" s="11"/>
      <c r="G50" s="18" t="n">
        <f aca="false">IF(AND(E50&gt;0,F50&gt;=0),E50-F50,0)</f>
        <v>0</v>
      </c>
      <c r="H50" s="17" t="n">
        <f aca="false">IF(E50&gt;0,G50/E50*100,0)</f>
        <v>0</v>
      </c>
      <c r="I50" s="18" t="n">
        <f aca="false">G50*'2. Savings Tracker'!$E$3</f>
        <v>0</v>
      </c>
      <c r="J50" s="19"/>
    </row>
    <row r="51" customFormat="false" ht="15" hidden="false" customHeight="false" outlineLevel="0" collapsed="false">
      <c r="A51" s="13" t="n">
        <v>48</v>
      </c>
      <c r="B51" s="19"/>
      <c r="C51" s="19"/>
      <c r="D51" s="19"/>
      <c r="E51" s="11"/>
      <c r="F51" s="11"/>
      <c r="G51" s="18" t="n">
        <f aca="false">IF(AND(E51&gt;0,F51&gt;=0),E51-F51,0)</f>
        <v>0</v>
      </c>
      <c r="H51" s="17" t="n">
        <f aca="false">IF(E51&gt;0,G51/E51*100,0)</f>
        <v>0</v>
      </c>
      <c r="I51" s="18" t="n">
        <f aca="false">G51*'2. Savings Tracker'!$E$3</f>
        <v>0</v>
      </c>
      <c r="J51" s="19"/>
    </row>
    <row r="52" customFormat="false" ht="15" hidden="false" customHeight="false" outlineLevel="0" collapsed="false">
      <c r="A52" s="13" t="n">
        <v>49</v>
      </c>
      <c r="B52" s="19"/>
      <c r="C52" s="19"/>
      <c r="D52" s="19"/>
      <c r="E52" s="11"/>
      <c r="F52" s="11"/>
      <c r="G52" s="18" t="n">
        <f aca="false">IF(AND(E52&gt;0,F52&gt;=0),E52-F52,0)</f>
        <v>0</v>
      </c>
      <c r="H52" s="17" t="n">
        <f aca="false">IF(E52&gt;0,G52/E52*100,0)</f>
        <v>0</v>
      </c>
      <c r="I52" s="18" t="n">
        <f aca="false">G52*'2. Savings Tracker'!$E$3</f>
        <v>0</v>
      </c>
      <c r="J52" s="19"/>
    </row>
    <row r="53" customFormat="false" ht="15" hidden="false" customHeight="false" outlineLevel="0" collapsed="false">
      <c r="A53" s="13" t="n">
        <v>50</v>
      </c>
      <c r="B53" s="19"/>
      <c r="C53" s="19"/>
      <c r="D53" s="19"/>
      <c r="E53" s="11"/>
      <c r="F53" s="11"/>
      <c r="G53" s="18" t="n">
        <f aca="false">IF(AND(E53&gt;0,F53&gt;=0),E53-F53,0)</f>
        <v>0</v>
      </c>
      <c r="H53" s="17" t="n">
        <f aca="false">IF(E53&gt;0,G53/E53*100,0)</f>
        <v>0</v>
      </c>
      <c r="I53" s="18" t="n">
        <f aca="false">G53*'2. Savings Tracker'!$E$3</f>
        <v>0</v>
      </c>
      <c r="J53" s="19"/>
    </row>
    <row r="54" customFormat="false" ht="25.5" hidden="false" customHeight="true" outlineLevel="0" collapsed="false">
      <c r="A54" s="20" t="s">
        <v>92</v>
      </c>
      <c r="B54" s="20"/>
      <c r="C54" s="20"/>
      <c r="D54" s="20"/>
      <c r="E54" s="20"/>
      <c r="F54" s="20"/>
      <c r="G54" s="20"/>
      <c r="H54" s="20"/>
      <c r="I54" s="20"/>
      <c r="J54" s="20"/>
    </row>
    <row r="55" customFormat="false" ht="15" hidden="false" customHeight="true" outlineLevel="0" collapsed="false">
      <c r="A55" s="39" t="s">
        <v>93</v>
      </c>
      <c r="B55" s="39"/>
      <c r="C55" s="39"/>
      <c r="D55" s="39"/>
      <c r="E55" s="22" t="n">
        <f aca="false">SUM(E4:E53)</f>
        <v>0</v>
      </c>
      <c r="F55" s="22" t="n">
        <f aca="false">SUM(F4:F53)</f>
        <v>0</v>
      </c>
      <c r="G55" s="40" t="n">
        <f aca="false">SUM(G4:G53)</f>
        <v>0</v>
      </c>
      <c r="H55" s="41" t="n">
        <f aca="false">IF(E55&gt;0,G55/E55*100,0)</f>
        <v>0</v>
      </c>
      <c r="I55" s="22" t="n">
        <f aca="false">SUM(I4:I53)</f>
        <v>0</v>
      </c>
      <c r="J55" s="25"/>
    </row>
  </sheetData>
  <mergeCells count="4">
    <mergeCell ref="A1:J1"/>
    <mergeCell ref="A2:J2"/>
    <mergeCell ref="A54:J54"/>
    <mergeCell ref="A55:D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8" min="4" style="0" width="14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6" t="s">
        <v>94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25.5" hidden="false" customHeight="true" outlineLevel="0" collapsed="false">
      <c r="A2" s="37" t="s">
        <v>95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" hidden="false" customHeight="false" outlineLevel="0" collapsed="false">
      <c r="A3" s="38" t="s">
        <v>38</v>
      </c>
      <c r="B3" s="38" t="s">
        <v>96</v>
      </c>
      <c r="C3" s="38" t="s">
        <v>97</v>
      </c>
      <c r="D3" s="38" t="s">
        <v>98</v>
      </c>
      <c r="E3" s="38" t="s">
        <v>99</v>
      </c>
      <c r="F3" s="38" t="s">
        <v>100</v>
      </c>
      <c r="G3" s="38" t="s">
        <v>101</v>
      </c>
      <c r="H3" s="38" t="s">
        <v>102</v>
      </c>
      <c r="I3" s="38" t="s">
        <v>103</v>
      </c>
      <c r="J3" s="38" t="s">
        <v>104</v>
      </c>
      <c r="K3" s="38" t="s">
        <v>105</v>
      </c>
    </row>
    <row r="4" customFormat="false" ht="15" hidden="false" customHeight="false" outlineLevel="0" collapsed="false">
      <c r="A4" s="42" t="n">
        <v>1</v>
      </c>
      <c r="B4" s="43" t="s">
        <v>106</v>
      </c>
      <c r="C4" s="44"/>
      <c r="D4" s="44"/>
      <c r="E4" s="44"/>
      <c r="F4" s="44"/>
      <c r="G4" s="44"/>
      <c r="H4" s="44"/>
      <c r="I4" s="4" t="n">
        <f aca="false">IF(AND(D4&gt;0,H4&gt;0),H4-D4,0)</f>
        <v>0</v>
      </c>
      <c r="J4" s="45" t="n">
        <f aca="false">IFERROR(IF(D4&gt;0,(H4-D4)/D4*100,0),0)</f>
        <v>0</v>
      </c>
      <c r="K4" s="4" t="str">
        <f aca="false">IF(I4&gt;0,"Improving",IF(I4=0,"Stable","Declining"))</f>
        <v>Stable</v>
      </c>
    </row>
    <row r="5" customFormat="false" ht="15" hidden="false" customHeight="false" outlineLevel="0" collapsed="false">
      <c r="A5" s="13" t="n">
        <v>2</v>
      </c>
      <c r="B5" s="14" t="s">
        <v>107</v>
      </c>
      <c r="C5" s="19"/>
      <c r="D5" s="19"/>
      <c r="E5" s="19"/>
      <c r="F5" s="19"/>
      <c r="G5" s="19"/>
      <c r="H5" s="19"/>
      <c r="I5" s="7" t="n">
        <f aca="false">IF(AND(D5&gt;0,H5&gt;0),H5-D5,0)</f>
        <v>0</v>
      </c>
      <c r="J5" s="46" t="n">
        <f aca="false">IFERROR(IF(D5&gt;0,(H5-D5)/D5*100,0),0)</f>
        <v>0</v>
      </c>
      <c r="K5" s="7" t="str">
        <f aca="false">IF(I5&gt;0,"Improving",IF(I5=0,"Stable","Declining"))</f>
        <v>Stable</v>
      </c>
    </row>
    <row r="6" customFormat="false" ht="15" hidden="false" customHeight="false" outlineLevel="0" collapsed="false">
      <c r="A6" s="42" t="n">
        <v>3</v>
      </c>
      <c r="B6" s="43" t="s">
        <v>108</v>
      </c>
      <c r="C6" s="44"/>
      <c r="D6" s="44"/>
      <c r="E6" s="44"/>
      <c r="F6" s="44"/>
      <c r="G6" s="44"/>
      <c r="H6" s="44"/>
      <c r="I6" s="4" t="n">
        <f aca="false">IF(AND(D6&gt;0,H6&gt;0),H6-D6,0)</f>
        <v>0</v>
      </c>
      <c r="J6" s="45" t="n">
        <f aca="false">IFERROR(IF(D6&gt;0,(H6-D6)/D6*100,0),0)</f>
        <v>0</v>
      </c>
      <c r="K6" s="4" t="str">
        <f aca="false">IF(I6&gt;0,"Improving",IF(I6=0,"Stable","Declining"))</f>
        <v>Stable</v>
      </c>
    </row>
    <row r="7" customFormat="false" ht="15" hidden="false" customHeight="false" outlineLevel="0" collapsed="false">
      <c r="A7" s="13" t="n">
        <v>4</v>
      </c>
      <c r="B7" s="14" t="s">
        <v>109</v>
      </c>
      <c r="C7" s="19"/>
      <c r="D7" s="19"/>
      <c r="E7" s="19"/>
      <c r="F7" s="19"/>
      <c r="G7" s="19"/>
      <c r="H7" s="19"/>
      <c r="I7" s="7" t="n">
        <f aca="false">IF(AND(D7&gt;0,H7&gt;0),H7-D7,0)</f>
        <v>0</v>
      </c>
      <c r="J7" s="46" t="n">
        <f aca="false">IFERROR(IF(D7&gt;0,(H7-D7)/D7*100,0),0)</f>
        <v>0</v>
      </c>
      <c r="K7" s="7" t="str">
        <f aca="false">IF(I7&gt;0,"Improving",IF(I7=0,"Stable","Declining"))</f>
        <v>Stable</v>
      </c>
    </row>
    <row r="8" customFormat="false" ht="15" hidden="false" customHeight="false" outlineLevel="0" collapsed="false">
      <c r="A8" s="42" t="n">
        <v>5</v>
      </c>
      <c r="B8" s="43" t="s">
        <v>110</v>
      </c>
      <c r="C8" s="44"/>
      <c r="D8" s="44"/>
      <c r="E8" s="44"/>
      <c r="F8" s="44"/>
      <c r="G8" s="44"/>
      <c r="H8" s="44"/>
      <c r="I8" s="4" t="n">
        <f aca="false">IF(AND(D8&gt;0,H8&gt;0),H8-D8,0)</f>
        <v>0</v>
      </c>
      <c r="J8" s="45" t="n">
        <f aca="false">IFERROR(IF(D8&gt;0,(H8-D8)/D8*100,0),0)</f>
        <v>0</v>
      </c>
      <c r="K8" s="4" t="str">
        <f aca="false">IF(I8&gt;0,"Improving",IF(I8=0,"Stable","Declining"))</f>
        <v>Stable</v>
      </c>
    </row>
    <row r="9" customFormat="false" ht="15" hidden="false" customHeight="false" outlineLevel="0" collapsed="false">
      <c r="A9" s="13" t="n">
        <v>6</v>
      </c>
      <c r="B9" s="14" t="s">
        <v>111</v>
      </c>
      <c r="C9" s="19"/>
      <c r="D9" s="19"/>
      <c r="E9" s="19"/>
      <c r="F9" s="19"/>
      <c r="G9" s="19"/>
      <c r="H9" s="19"/>
      <c r="I9" s="7" t="n">
        <f aca="false">IF(AND(D9&gt;0,H9&gt;0),H9-D9,0)</f>
        <v>0</v>
      </c>
      <c r="J9" s="46" t="n">
        <f aca="false">IFERROR(IF(D9&gt;0,(H9-D9)/D9*100,0),0)</f>
        <v>0</v>
      </c>
      <c r="K9" s="7" t="str">
        <f aca="false">IF(I9&gt;0,"Improving",IF(I9=0,"Stable","Declining"))</f>
        <v>Stable</v>
      </c>
    </row>
    <row r="10" customFormat="false" ht="15" hidden="false" customHeight="false" outlineLevel="0" collapsed="false">
      <c r="A10" s="42" t="n">
        <v>7</v>
      </c>
      <c r="B10" s="43" t="s">
        <v>112</v>
      </c>
      <c r="C10" s="44"/>
      <c r="D10" s="44"/>
      <c r="E10" s="44"/>
      <c r="F10" s="44"/>
      <c r="G10" s="44"/>
      <c r="H10" s="44"/>
      <c r="I10" s="4" t="n">
        <f aca="false">IF(AND(D10&gt;0,H10&gt;0),H10-D10,0)</f>
        <v>0</v>
      </c>
      <c r="J10" s="45" t="n">
        <f aca="false">IFERROR(IF(D10&gt;0,(H10-D10)/D10*100,0),0)</f>
        <v>0</v>
      </c>
      <c r="K10" s="4" t="str">
        <f aca="false">IF(I10&gt;0,"Improving",IF(I10=0,"Stable","Declining"))</f>
        <v>Stable</v>
      </c>
    </row>
    <row r="11" customFormat="false" ht="15" hidden="false" customHeight="false" outlineLevel="0" collapsed="false">
      <c r="A11" s="13" t="n">
        <v>8</v>
      </c>
      <c r="B11" s="14" t="s">
        <v>113</v>
      </c>
      <c r="C11" s="19"/>
      <c r="D11" s="19"/>
      <c r="E11" s="19"/>
      <c r="F11" s="19"/>
      <c r="G11" s="19"/>
      <c r="H11" s="19"/>
      <c r="I11" s="7" t="n">
        <f aca="false">IF(AND(D11&gt;0,H11&gt;0),H11-D11,0)</f>
        <v>0</v>
      </c>
      <c r="J11" s="46" t="n">
        <f aca="false">IFERROR(IF(D11&gt;0,(H11-D11)/D11*100,0),0)</f>
        <v>0</v>
      </c>
      <c r="K11" s="7" t="str">
        <f aca="false">IF(I11&gt;0,"Improving",IF(I11=0,"Stable","Declining"))</f>
        <v>Stable</v>
      </c>
    </row>
    <row r="12" customFormat="false" ht="15" hidden="false" customHeight="false" outlineLevel="0" collapsed="false">
      <c r="A12" s="42" t="n">
        <v>9</v>
      </c>
      <c r="B12" s="43" t="s">
        <v>114</v>
      </c>
      <c r="C12" s="44"/>
      <c r="D12" s="44"/>
      <c r="E12" s="44"/>
      <c r="F12" s="44"/>
      <c r="G12" s="44"/>
      <c r="H12" s="44"/>
      <c r="I12" s="4" t="n">
        <f aca="false">IF(AND(D12&gt;0,H12&gt;0),H12-D12,0)</f>
        <v>0</v>
      </c>
      <c r="J12" s="45" t="n">
        <f aca="false">IFERROR(IF(D12&gt;0,(H12-D12)/D12*100,0),0)</f>
        <v>0</v>
      </c>
      <c r="K12" s="4" t="str">
        <f aca="false">IF(I12&gt;0,"Improving",IF(I12=0,"Stable","Declining"))</f>
        <v>Stable</v>
      </c>
    </row>
    <row r="13" customFormat="false" ht="15" hidden="false" customHeight="false" outlineLevel="0" collapsed="false">
      <c r="A13" s="13" t="n">
        <v>10</v>
      </c>
      <c r="B13" s="14" t="s">
        <v>115</v>
      </c>
      <c r="C13" s="19"/>
      <c r="D13" s="19"/>
      <c r="E13" s="19"/>
      <c r="F13" s="19"/>
      <c r="G13" s="19"/>
      <c r="H13" s="19"/>
      <c r="I13" s="7" t="n">
        <f aca="false">IF(AND(D13&gt;0,H13&gt;0),H13-D13,0)</f>
        <v>0</v>
      </c>
      <c r="J13" s="46" t="n">
        <f aca="false">IFERROR(IF(D13&gt;0,(H13-D13)/D13*100,0),0)</f>
        <v>0</v>
      </c>
      <c r="K13" s="7" t="str">
        <f aca="false">IF(I13&gt;0,"Improving",IF(I13=0,"Stable","Declining"))</f>
        <v>Stable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47" t="s">
        <v>116</v>
      </c>
      <c r="B1" s="47"/>
      <c r="C1" s="47"/>
      <c r="D1" s="47"/>
      <c r="E1" s="47"/>
      <c r="F1" s="47"/>
    </row>
    <row r="2" customFormat="false" ht="25.5" hidden="false" customHeight="true" outlineLevel="0" collapsed="false">
      <c r="A2" s="48" t="s">
        <v>117</v>
      </c>
      <c r="B2" s="48"/>
      <c r="C2" s="48"/>
      <c r="D2" s="48"/>
      <c r="E2" s="48"/>
      <c r="F2" s="48"/>
    </row>
    <row r="3" customFormat="false" ht="15" hidden="false" customHeight="false" outlineLevel="0" collapsed="false">
      <c r="A3" s="49" t="s">
        <v>2</v>
      </c>
      <c r="B3" s="49" t="s">
        <v>118</v>
      </c>
      <c r="C3" s="49" t="s">
        <v>119</v>
      </c>
      <c r="D3" s="49" t="s">
        <v>120</v>
      </c>
      <c r="E3" s="49" t="s">
        <v>121</v>
      </c>
      <c r="F3" s="49" t="s">
        <v>122</v>
      </c>
    </row>
    <row r="4" customFormat="false" ht="31.5" hidden="false" customHeight="true" outlineLevel="0" collapsed="false">
      <c r="A4" s="50" t="n">
        <v>1</v>
      </c>
      <c r="B4" s="51" t="s">
        <v>123</v>
      </c>
      <c r="C4" s="52" t="s">
        <v>124</v>
      </c>
      <c r="D4" s="53"/>
      <c r="E4" s="53"/>
      <c r="F4" s="53"/>
    </row>
    <row r="5" customFormat="false" ht="31.5" hidden="false" customHeight="true" outlineLevel="0" collapsed="false">
      <c r="A5" s="13" t="n">
        <v>2</v>
      </c>
      <c r="B5" s="8" t="s">
        <v>125</v>
      </c>
      <c r="C5" s="9" t="s">
        <v>126</v>
      </c>
      <c r="D5" s="19"/>
      <c r="E5" s="19"/>
      <c r="F5" s="19"/>
    </row>
    <row r="6" customFormat="false" ht="31.5" hidden="false" customHeight="true" outlineLevel="0" collapsed="false">
      <c r="A6" s="50" t="n">
        <v>3</v>
      </c>
      <c r="B6" s="51" t="s">
        <v>127</v>
      </c>
      <c r="C6" s="52" t="s">
        <v>128</v>
      </c>
      <c r="D6" s="53"/>
      <c r="E6" s="53"/>
      <c r="F6" s="53"/>
    </row>
    <row r="7" customFormat="false" ht="31.5" hidden="false" customHeight="true" outlineLevel="0" collapsed="false">
      <c r="A7" s="13" t="n">
        <v>4</v>
      </c>
      <c r="B7" s="8" t="s">
        <v>129</v>
      </c>
      <c r="C7" s="9" t="s">
        <v>130</v>
      </c>
      <c r="D7" s="19"/>
      <c r="E7" s="19"/>
      <c r="F7" s="19"/>
    </row>
    <row r="8" customFormat="false" ht="31.5" hidden="false" customHeight="true" outlineLevel="0" collapsed="false">
      <c r="A8" s="50" t="n">
        <v>5</v>
      </c>
      <c r="B8" s="51" t="s">
        <v>131</v>
      </c>
      <c r="C8" s="52" t="s">
        <v>132</v>
      </c>
      <c r="D8" s="53"/>
      <c r="E8" s="53"/>
      <c r="F8" s="53"/>
    </row>
    <row r="9" customFormat="false" ht="31.5" hidden="false" customHeight="true" outlineLevel="0" collapsed="false">
      <c r="A9" s="13" t="n">
        <v>6</v>
      </c>
      <c r="B9" s="8" t="s">
        <v>133</v>
      </c>
      <c r="C9" s="9" t="s">
        <v>134</v>
      </c>
      <c r="D9" s="19"/>
      <c r="E9" s="19"/>
      <c r="F9" s="19"/>
    </row>
    <row r="10" customFormat="false" ht="31.5" hidden="false" customHeight="true" outlineLevel="0" collapsed="false">
      <c r="A10" s="50" t="n">
        <v>7</v>
      </c>
      <c r="B10" s="51" t="s">
        <v>135</v>
      </c>
      <c r="C10" s="52" t="s">
        <v>136</v>
      </c>
      <c r="D10" s="53"/>
      <c r="E10" s="53"/>
      <c r="F10" s="53"/>
    </row>
    <row r="11" customFormat="false" ht="31.5" hidden="false" customHeight="true" outlineLevel="0" collapsed="false">
      <c r="A11" s="13" t="n">
        <v>8</v>
      </c>
      <c r="B11" s="8" t="s">
        <v>137</v>
      </c>
      <c r="C11" s="9" t="s">
        <v>138</v>
      </c>
      <c r="D11" s="19"/>
      <c r="E11" s="19"/>
      <c r="F11" s="19"/>
    </row>
    <row r="12" customFormat="false" ht="31.5" hidden="false" customHeight="true" outlineLevel="0" collapsed="false">
      <c r="A12" s="50" t="n">
        <v>9</v>
      </c>
      <c r="B12" s="51" t="s">
        <v>139</v>
      </c>
      <c r="C12" s="52" t="s">
        <v>140</v>
      </c>
      <c r="D12" s="53"/>
      <c r="E12" s="53"/>
      <c r="F12" s="53"/>
    </row>
    <row r="13" customFormat="false" ht="31.5" hidden="false" customHeight="true" outlineLevel="0" collapsed="false">
      <c r="A13" s="13" t="n">
        <v>10</v>
      </c>
      <c r="B13" s="8" t="s">
        <v>141</v>
      </c>
      <c r="C13" s="9" t="s">
        <v>142</v>
      </c>
      <c r="D13" s="19"/>
      <c r="E13" s="19"/>
      <c r="F13" s="19"/>
    </row>
    <row r="14" customFormat="false" ht="31.5" hidden="false" customHeight="true" outlineLevel="0" collapsed="false">
      <c r="A14" s="50" t="n">
        <v>11</v>
      </c>
      <c r="B14" s="51" t="s">
        <v>143</v>
      </c>
      <c r="C14" s="52" t="s">
        <v>144</v>
      </c>
      <c r="D14" s="53"/>
      <c r="E14" s="53"/>
      <c r="F14" s="53"/>
    </row>
    <row r="15" customFormat="false" ht="31.5" hidden="false" customHeight="true" outlineLevel="0" collapsed="false">
      <c r="A15" s="13" t="n">
        <v>12</v>
      </c>
      <c r="B15" s="8" t="s">
        <v>145</v>
      </c>
      <c r="C15" s="9" t="s">
        <v>146</v>
      </c>
      <c r="D15" s="19"/>
      <c r="E15" s="19"/>
      <c r="F15" s="19"/>
    </row>
    <row r="16" customFormat="false" ht="31.5" hidden="false" customHeight="true" outlineLevel="0" collapsed="false">
      <c r="A16" s="50" t="n">
        <v>13</v>
      </c>
      <c r="B16" s="51" t="s">
        <v>147</v>
      </c>
      <c r="C16" s="52" t="s">
        <v>148</v>
      </c>
      <c r="D16" s="53"/>
      <c r="E16" s="53"/>
      <c r="F16" s="53"/>
    </row>
    <row r="17" customFormat="false" ht="31.5" hidden="false" customHeight="true" outlineLevel="0" collapsed="false">
      <c r="A17" s="13" t="n">
        <v>14</v>
      </c>
      <c r="B17" s="8" t="s">
        <v>149</v>
      </c>
      <c r="C17" s="9" t="s">
        <v>150</v>
      </c>
      <c r="D17" s="19"/>
      <c r="E17" s="19"/>
      <c r="F17" s="19"/>
    </row>
    <row r="18" customFormat="false" ht="31.5" hidden="false" customHeight="true" outlineLevel="0" collapsed="false">
      <c r="A18" s="50" t="n">
        <v>15</v>
      </c>
      <c r="B18" s="51" t="s">
        <v>151</v>
      </c>
      <c r="C18" s="52" t="s">
        <v>152</v>
      </c>
      <c r="D18" s="53"/>
      <c r="E18" s="53"/>
      <c r="F18" s="53"/>
    </row>
    <row r="19" customFormat="false" ht="31.5" hidden="false" customHeight="true" outlineLevel="0" collapsed="false">
      <c r="A19" s="13" t="n">
        <v>16</v>
      </c>
      <c r="B19" s="8" t="s">
        <v>153</v>
      </c>
      <c r="C19" s="9" t="s">
        <v>154</v>
      </c>
      <c r="D19" s="19"/>
      <c r="E19" s="19"/>
      <c r="F19" s="19"/>
    </row>
    <row r="20" customFormat="false" ht="31.5" hidden="false" customHeight="true" outlineLevel="0" collapsed="false">
      <c r="A20" s="50" t="n">
        <v>17</v>
      </c>
      <c r="B20" s="51" t="s">
        <v>155</v>
      </c>
      <c r="C20" s="52" t="s">
        <v>156</v>
      </c>
      <c r="D20" s="53"/>
      <c r="E20" s="53"/>
      <c r="F20" s="53"/>
    </row>
    <row r="21" customFormat="false" ht="31.5" hidden="false" customHeight="true" outlineLevel="0" collapsed="false">
      <c r="A21" s="13" t="n">
        <v>18</v>
      </c>
      <c r="B21" s="8" t="s">
        <v>157</v>
      </c>
      <c r="C21" s="9" t="s">
        <v>158</v>
      </c>
      <c r="D21" s="19"/>
      <c r="E21" s="19"/>
      <c r="F21" s="19"/>
    </row>
    <row r="22" customFormat="false" ht="31.5" hidden="false" customHeight="true" outlineLevel="0" collapsed="false">
      <c r="A22" s="50" t="n">
        <v>19</v>
      </c>
      <c r="B22" s="51" t="s">
        <v>159</v>
      </c>
      <c r="C22" s="52" t="s">
        <v>160</v>
      </c>
      <c r="D22" s="53"/>
      <c r="E22" s="53"/>
      <c r="F22" s="53"/>
    </row>
    <row r="23" customFormat="false" ht="31.5" hidden="false" customHeight="true" outlineLevel="0" collapsed="false">
      <c r="A23" s="13" t="n">
        <v>20</v>
      </c>
      <c r="B23" s="8" t="s">
        <v>161</v>
      </c>
      <c r="C23" s="9" t="s">
        <v>162</v>
      </c>
      <c r="D23" s="19"/>
      <c r="E23" s="19"/>
      <c r="F23" s="1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2026-06-08T06:58:33Z</dcterms:created>
  <dc:creator>openpyxl</dc:creator>
  <dc:description/>
  <dc:language>en-US</dc:language>
  <cp:lastModifiedBy/>
  <dcterms:modified xsi:type="dcterms:W3CDTF">2026-06-08T06:58:33Z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