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Source Reference" sheetId="1" state="visible" r:id="rId3"/>
    <sheet name="2. Sources Log" sheetId="2" state="visible" r:id="rId4"/>
    <sheet name="3. Treatment Plan" sheetId="3" state="visible" r:id="rId5"/>
    <sheet name="4. Reuse Plan" sheetId="4" state="visible" r:id="rId6"/>
    <sheet name="5. Dashboard Summary" sheetId="5" state="visible" r:id="rId7"/>
    <sheet name="6. YoY Trend" sheetId="6" state="visible" r:id="rId8"/>
    <sheet name="7. Audit Checklist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<sst xmlns="http://schemas.openxmlformats.org/spreadsheetml/2006/main" count="405" uniqueCount="309">
  <si>
    <t xml:space="preserve">Institutional Wastewater Generation — Source Classification &amp; Management Guide</t>
  </si>
  <si>
    <t xml:space="preserve">6 Source Categories | Grey / Black / RO / Lab Classification | STP / ETP Routing | NAAC 7.1.4</t>
  </si>
  <si>
    <t xml:space="preserve">#</t>
  </si>
  <si>
    <t xml:space="preserve">Source Category</t>
  </si>
  <si>
    <t xml:space="preserve">Specific Sources</t>
  </si>
  <si>
    <t xml:space="preserve">Wastewater Type</t>
  </si>
  <si>
    <t xml:space="preserve">Treatment Route</t>
  </si>
  <si>
    <t xml:space="preserve">Reuse Potential</t>
  </si>
  <si>
    <t xml:space="preserve">Academic Departments</t>
  </si>
  <si>
    <t xml:space="preserve">Lab washbasins, hand-wash areas, floor cleaning, equipment rinse</t>
  </si>
  <si>
    <t xml:space="preserve">Grey water (soaps, detergents, diluted chemicals)</t>
  </si>
  <si>
    <t xml:space="preserve">Lab waste → neutralization → ETP; General → STP</t>
  </si>
  <si>
    <t xml:space="preserve">Floor cleaning, gardening (after treatment)</t>
  </si>
  <si>
    <t xml:space="preserve">Canteen &amp; Mess</t>
  </si>
  <si>
    <t xml:space="preserve">Dishwashing, food preparation, floor cleaning, hand-wash</t>
  </si>
  <si>
    <t xml:space="preserve">Grey water with high organic load (food particles, oils, detergents)</t>
  </si>
  <si>
    <t xml:space="preserve">Grease trap → STP / ETP</t>
  </si>
  <si>
    <t xml:space="preserve">Non-potable: flushing, cleaning (after treatment)</t>
  </si>
  <si>
    <t xml:space="preserve">Washrooms &amp; Toilets</t>
  </si>
  <si>
    <t xml:space="preserve">Toilets, urinals, washbasins</t>
  </si>
  <si>
    <t xml:space="preserve">Black water (sewage, high bacterial load)</t>
  </si>
  <si>
    <t xml:space="preserve">Direct to STP → disinfection</t>
  </si>
  <si>
    <t xml:space="preserve">Flushing, gardening (after full treatment)</t>
  </si>
  <si>
    <t xml:space="preserve">Hostels &amp; Residential</t>
  </si>
  <si>
    <t xml:space="preserve">Bathrooms, laundry, toilets, handwash</t>
  </si>
  <si>
    <t xml:space="preserve">Mix of grey + black water</t>
  </si>
  <si>
    <t xml:space="preserve">Grey water separated → reuse; Black → STP</t>
  </si>
  <si>
    <t xml:space="preserve">Laundry rinse reuse, gardening, flushing</t>
  </si>
  <si>
    <t xml:space="preserve">RO Plant Reject</t>
  </si>
  <si>
    <t xml:space="preserve">Drinking water purification reject streams</t>
  </si>
  <si>
    <t xml:space="preserve">High TDS water (salts, minerals)</t>
  </si>
  <si>
    <t xml:space="preserve">Separate tank → dilute with grey water → ETP</t>
  </si>
  <si>
    <t xml:space="preserve">Gardening, floor cleaning, cooling towers</t>
  </si>
  <si>
    <t xml:space="preserve">Gardening &amp; Outdoor</t>
  </si>
  <si>
    <t xml:space="preserve">Overflow, pavement washing, cleaning water</t>
  </si>
  <si>
    <t xml:space="preserve">Grey water with soil, mud, organic matter</t>
  </si>
  <si>
    <t xml:space="preserve">Recharge pits or filtered for reuse</t>
  </si>
  <si>
    <t xml:space="preserve">Ground recharge, irrigation recycling</t>
  </si>
  <si>
    <t xml:space="preserve">Proposed Treatment Strategy</t>
  </si>
  <si>
    <t xml:space="preserve">System</t>
  </si>
  <si>
    <t xml:space="preserve">Function</t>
  </si>
  <si>
    <t xml:space="preserve">Input Sources</t>
  </si>
  <si>
    <t xml:space="preserve">Output Quality</t>
  </si>
  <si>
    <t xml:space="preserve">Reuse Applications</t>
  </si>
  <si>
    <t xml:space="preserve">STP (Sewage Treatment Plant)</t>
  </si>
  <si>
    <t xml:space="preserve">Treats black water and general grey water to discharge/reuse standards</t>
  </si>
  <si>
    <t xml:space="preserve">Toilets, urinals, canteen sewage, hostel sewage, general grey water</t>
  </si>
  <si>
    <t xml:space="preserve">BOD &lt;10 mg/L, TSS &lt;10 mg/L, pH 6.5–8.5</t>
  </si>
  <si>
    <t xml:space="preserve">Gardening, flushing, landscape irrigation, construction</t>
  </si>
  <si>
    <t xml:space="preserve">ETP (Effluent Treatment Plant)</t>
  </si>
  <si>
    <t xml:space="preserve">Treats high organic load, chemical-laden, and high-TDS wastewater</t>
  </si>
  <si>
    <t xml:space="preserve">RO reject, lab wastewater (after neutralization), canteen grease-trap effluent</t>
  </si>
  <si>
    <t xml:space="preserve">Meets CPCB discharge norms; suitable for controlled reuse</t>
  </si>
  <si>
    <t xml:space="preserve">Floor cleaning, cooling towers, diluted gardening</t>
  </si>
  <si>
    <t xml:space="preserve">Sludge Composting</t>
  </si>
  <si>
    <t xml:space="preserve">Converts STP/ETP sludge to organic fertilizer</t>
  </si>
  <si>
    <t xml:space="preserve">Sludge from STP settling tanks and ETP filter press</t>
  </si>
  <si>
    <t xml:space="preserve">Stabilized compost; pathogen-free after 60-day maturation</t>
  </si>
  <si>
    <t xml:space="preserve">Campus garden fertilizer, nursery beds, landscaping</t>
  </si>
  <si>
    <t xml:space="preserve">Wastewater Sources Log — Daily Generation by Location &amp; Type</t>
  </si>
  <si>
    <t xml:space="preserve">Enter every source: category, location, type, volume (L/day), routing → feeds Treatment &amp; Dashboard</t>
  </si>
  <si>
    <t xml:space="preserve">S.No.</t>
  </si>
  <si>
    <t xml:space="preserve">Date / Period</t>
  </si>
  <si>
    <t xml:space="preserve">Location / Block</t>
  </si>
  <si>
    <t xml:space="preserve">Wastewater Type (Grey / Black / RO / Lab)</t>
  </si>
  <si>
    <t xml:space="preserve">Estimated Volume (L/day)</t>
  </si>
  <si>
    <t xml:space="preserve">Collection Tank ID</t>
  </si>
  <si>
    <t xml:space="preserve">Routed To (STP / ETP / Recharge Pit)</t>
  </si>
  <si>
    <t xml:space="preserve">Measurement Method (Meter / Estimate / Formula)</t>
  </si>
  <si>
    <t xml:space="preserve">Remarks</t>
  </si>
  <si>
    <t xml:space="preserve">Academic Dept</t>
  </si>
  <si>
    <t xml:space="preserve">Science Lab Complex</t>
  </si>
  <si>
    <t xml:space="preserve">Lab</t>
  </si>
  <si>
    <t xml:space="preserve">CT-LAB-01</t>
  </si>
  <si>
    <t xml:space="preserve">ETP</t>
  </si>
  <si>
    <t xml:space="preserve">Estimate</t>
  </si>
  <si>
    <t xml:space="preserve">Neutralized before routing</t>
  </si>
  <si>
    <t xml:space="preserve">Academic Block 1 Washbasins</t>
  </si>
  <si>
    <t xml:space="preserve">Grey</t>
  </si>
  <si>
    <t xml:space="preserve">CT-AB1</t>
  </si>
  <si>
    <t xml:space="preserve">STP</t>
  </si>
  <si>
    <t xml:space="preserve">Academic Block 2 Washbasins</t>
  </si>
  <si>
    <t xml:space="preserve">CT-AB2</t>
  </si>
  <si>
    <t xml:space="preserve">Workshop / Engineering Lab</t>
  </si>
  <si>
    <t xml:space="preserve">CT-WS1</t>
  </si>
  <si>
    <t xml:space="preserve">Coolant water included</t>
  </si>
  <si>
    <t xml:space="preserve">Main Canteen Kitchen</t>
  </si>
  <si>
    <t xml:space="preserve">CT-CAN-01</t>
  </si>
  <si>
    <t xml:space="preserve">Meter</t>
  </si>
  <si>
    <t xml:space="preserve">Via grease trap</t>
  </si>
  <si>
    <t xml:space="preserve">Hostel Mess Kitchen</t>
  </si>
  <si>
    <t xml:space="preserve">CT-MES-01</t>
  </si>
  <si>
    <t xml:space="preserve">Academic Block Washrooms</t>
  </si>
  <si>
    <t xml:space="preserve">Black</t>
  </si>
  <si>
    <t xml:space="preserve">CT-WR-01</t>
  </si>
  <si>
    <t xml:space="preserve">Formula</t>
  </si>
  <si>
    <t xml:space="preserve">Population × 15L</t>
  </si>
  <si>
    <t xml:space="preserve">Admin Block Washrooms</t>
  </si>
  <si>
    <t xml:space="preserve">CT-WR-02</t>
  </si>
  <si>
    <t xml:space="preserve">Hostels</t>
  </si>
  <si>
    <t xml:space="preserve">Hostel A (Boys) — Bathrooms</t>
  </si>
  <si>
    <t xml:space="preserve">CT-HA-GR</t>
  </si>
  <si>
    <t xml:space="preserve">Hostel A (Boys) — Toilets</t>
  </si>
  <si>
    <t xml:space="preserve">CT-HA-BK</t>
  </si>
  <si>
    <t xml:space="preserve">Hostel B (Boys)</t>
  </si>
  <si>
    <t xml:space="preserve">CT-HB-GR</t>
  </si>
  <si>
    <t xml:space="preserve">Hostel C (Girls) — All</t>
  </si>
  <si>
    <t xml:space="preserve">CT-HC</t>
  </si>
  <si>
    <t xml:space="preserve">Mixed grey+black</t>
  </si>
  <si>
    <t xml:space="preserve">Hostel Laundry</t>
  </si>
  <si>
    <t xml:space="preserve">CT-HL</t>
  </si>
  <si>
    <t xml:space="preserve">Detergent-laden</t>
  </si>
  <si>
    <t xml:space="preserve">RO Plant</t>
  </si>
  <si>
    <t xml:space="preserve">RO Plant Reject Water</t>
  </si>
  <si>
    <t xml:space="preserve">RO</t>
  </si>
  <si>
    <t xml:space="preserve">CT-RO-01</t>
  </si>
  <si>
    <t xml:space="preserve">60–70% of RO input</t>
  </si>
  <si>
    <t xml:space="preserve">Gardening</t>
  </si>
  <si>
    <t xml:space="preserve">Garden Overflow / Wash</t>
  </si>
  <si>
    <t xml:space="preserve">Recharge Pit</t>
  </si>
  <si>
    <t xml:space="preserve">Seasonal variation</t>
  </si>
  <si>
    <t xml:space="preserve">Source-Wise Generation Summary (Auto-Calculated)</t>
  </si>
  <si>
    <t xml:space="preserve">Volume (L/day)</t>
  </si>
  <si>
    <t xml:space="preserve">% of Total</t>
  </si>
  <si>
    <t xml:space="preserve">Wastewater Type Summary</t>
  </si>
  <si>
    <t xml:space="preserve">Grey Water</t>
  </si>
  <si>
    <t xml:space="preserve">Black Water</t>
  </si>
  <si>
    <t xml:space="preserve">RO Water</t>
  </si>
  <si>
    <t xml:space="preserve">Lab Water</t>
  </si>
  <si>
    <t xml:space="preserve">Routing Summary (Where Wastewater Goes)</t>
  </si>
  <si>
    <t xml:space="preserve">Routed to STP</t>
  </si>
  <si>
    <t xml:space="preserve">Routed to ETP</t>
  </si>
  <si>
    <t xml:space="preserve">Routed to Recharge Pit</t>
  </si>
  <si>
    <t xml:space="preserve">TOTAL WASTEWATER GENERATED (L/day)</t>
  </si>
  <si>
    <t xml:space="preserve">Total in KLD (Kilolitres/Day)</t>
  </si>
  <si>
    <t xml:space="preserve">Treatment Plant Register — STP &amp; ETP Capacity, Inflow &amp; Treated Output</t>
  </si>
  <si>
    <t xml:space="preserve">Inflow auto-calculated from Sources Log | Treated volume = min(capacity, inflow) | Efficiency tracked</t>
  </si>
  <si>
    <t xml:space="preserve">Plant ID</t>
  </si>
  <si>
    <t xml:space="preserve">Plant Type (STP/ETP)</t>
  </si>
  <si>
    <t xml:space="preserve">Rated Capacity (KLD)</t>
  </si>
  <si>
    <t xml:space="preserve">Rated Capacity (L/day) [AUTO]</t>
  </si>
  <si>
    <t xml:space="preserve">Inflow (L/day) [AUTO from Sources]</t>
  </si>
  <si>
    <t xml:space="preserve">Treated Volume (L/day) [AUTO]</t>
  </si>
  <si>
    <t xml:space="preserve">Treatment Efficiency (%)</t>
  </si>
  <si>
    <t xml:space="preserve">Last Service Date</t>
  </si>
  <si>
    <t xml:space="preserve">Next Service Due</t>
  </si>
  <si>
    <t xml:space="preserve">STP-1</t>
  </si>
  <si>
    <t xml:space="preserve">Main campus STP — activated sludge process</t>
  </si>
  <si>
    <t xml:space="preserve">STP-2</t>
  </si>
  <si>
    <t xml:space="preserve">Hostel block STP — MBBR technology</t>
  </si>
  <si>
    <t xml:space="preserve">ETP-1</t>
  </si>
  <si>
    <t xml:space="preserve">For RO reject, lab waste, canteen grease-trap effluent</t>
  </si>
  <si>
    <t xml:space="preserve">ETP-2</t>
  </si>
  <si>
    <t xml:space="preserve">Backup / overflow ETP</t>
  </si>
  <si>
    <t xml:space="preserve">Treatment Totals</t>
  </si>
  <si>
    <t xml:space="preserve">TOTAL</t>
  </si>
  <si>
    <t xml:space="preserve">Total Capacity (KLD)</t>
  </si>
  <si>
    <t xml:space="preserve">Total Inflow (KLD)</t>
  </si>
  <si>
    <t xml:space="preserve">Total Treated (KLD)</t>
  </si>
  <si>
    <t xml:space="preserve">Capacity Utilization (%)</t>
  </si>
  <si>
    <t xml:space="preserve">Overflow / Untreated (L/day)</t>
  </si>
  <si>
    <t xml:space="preserve">Treated Water Reuse Plan — Application &amp; Distribution</t>
  </si>
  <si>
    <t xml:space="preserve">Assign treated STP/ETP output to reuse applications | Track reuse volume vs treated volume</t>
  </si>
  <si>
    <t xml:space="preserve">Reuse Application</t>
  </si>
  <si>
    <t xml:space="preserve">Source Plant (STP-1/ETP-1/etc.)</t>
  </si>
  <si>
    <t xml:space="preserve">Assigned Volume (L/day)</t>
  </si>
  <si>
    <t xml:space="preserve">Distribution / Pipeline Ref</t>
  </si>
  <si>
    <t xml:space="preserve">Quality Requirement</t>
  </si>
  <si>
    <t xml:space="preserve">Gardening / Landscaping Irrigation</t>
  </si>
  <si>
    <t xml:space="preserve">Campus gardens, lawns, nursery</t>
  </si>
  <si>
    <t xml:space="preserve">Pipeline P-GDN-01</t>
  </si>
  <si>
    <t xml:space="preserve">pH 6.5–8.5, BOD &lt;20</t>
  </si>
  <si>
    <t xml:space="preserve">Toilet Flushing</t>
  </si>
  <si>
    <t xml:space="preserve">Hostel A &amp; B flush tanks</t>
  </si>
  <si>
    <t xml:space="preserve">Pipeline P-FLUSH-01</t>
  </si>
  <si>
    <t xml:space="preserve">pH 6.5–8.5, no odour</t>
  </si>
  <si>
    <t xml:space="preserve">Dual plumbing required</t>
  </si>
  <si>
    <t xml:space="preserve">Academic Block washrooms</t>
  </si>
  <si>
    <t xml:space="preserve">Pipeline P-FLUSH-02</t>
  </si>
  <si>
    <t xml:space="preserve">Floor Cleaning / Mopping</t>
  </si>
  <si>
    <t xml:space="preserve">All buildings general cleaning</t>
  </si>
  <si>
    <t xml:space="preserve">Tanker / manual</t>
  </si>
  <si>
    <t xml:space="preserve">Non-potable standard</t>
  </si>
  <si>
    <t xml:space="preserve">Cooling Tower Makeup</t>
  </si>
  <si>
    <t xml:space="preserve">Central AC plant</t>
  </si>
  <si>
    <t xml:space="preserve">Pipeline P-COOL-01</t>
  </si>
  <si>
    <t xml:space="preserve">Low TDS preferred</t>
  </si>
  <si>
    <t xml:space="preserve">If applicable</t>
  </si>
  <si>
    <t xml:space="preserve">Construction Use</t>
  </si>
  <si>
    <t xml:space="preserve">New building projects on campus</t>
  </si>
  <si>
    <t xml:space="preserve">Tanker</t>
  </si>
  <si>
    <t xml:space="preserve">Non-potable</t>
  </si>
  <si>
    <t xml:space="preserve">Seasonal</t>
  </si>
  <si>
    <t xml:space="preserve">Vehicle Washing</t>
  </si>
  <si>
    <t xml:space="preserve">Transport / parking area</t>
  </si>
  <si>
    <t xml:space="preserve">Manual</t>
  </si>
  <si>
    <t xml:space="preserve">Sports Ground / Playground</t>
  </si>
  <si>
    <t xml:space="preserve">Cricket pitch, football ground</t>
  </si>
  <si>
    <t xml:space="preserve">Sprinkler S-SPT-01</t>
  </si>
  <si>
    <t xml:space="preserve">Reuse Summary</t>
  </si>
  <si>
    <t xml:space="preserve">TOTAL REUSE ASSIGNED (L/day)</t>
  </si>
  <si>
    <t xml:space="preserve">Total Reuse (KLD)</t>
  </si>
  <si>
    <t xml:space="preserve">Treated Volume Available (L/day)</t>
  </si>
  <si>
    <t xml:space="preserve">Reuse as % of Treated</t>
  </si>
  <si>
    <t xml:space="preserve">Surplus Treated (Unassigned)</t>
  </si>
  <si>
    <t xml:space="preserve">Wastewater Audit Dashboard — Auto-Calculated KPIs</t>
  </si>
  <si>
    <t xml:space="preserve">All values auto-linked from Sources Log, Treatment Plan &amp; Reuse Plan</t>
  </si>
  <si>
    <t xml:space="preserve">KPI / Metric</t>
  </si>
  <si>
    <t xml:space="preserve">Value</t>
  </si>
  <si>
    <t xml:space="preserve">Unit</t>
  </si>
  <si>
    <t xml:space="preserve">Formula Source</t>
  </si>
  <si>
    <t xml:space="preserve">Target</t>
  </si>
  <si>
    <t xml:space="preserve">Status</t>
  </si>
  <si>
    <t xml:space="preserve">Total Wastewater Generated</t>
  </si>
  <si>
    <t xml:space="preserve">L/day</t>
  </si>
  <si>
    <t xml:space="preserve">Sources Log Grand Total</t>
  </si>
  <si>
    <t xml:space="preserve">Generated (KLD)</t>
  </si>
  <si>
    <t xml:space="preserve">KLD</t>
  </si>
  <si>
    <t xml:space="preserve">Grey Water Generated</t>
  </si>
  <si>
    <t xml:space="preserve">Type = Grey</t>
  </si>
  <si>
    <t xml:space="preserve">Black Water Generated</t>
  </si>
  <si>
    <t xml:space="preserve">Type = Black</t>
  </si>
  <si>
    <t xml:space="preserve">RO Reject Generated</t>
  </si>
  <si>
    <t xml:space="preserve">Type = RO</t>
  </si>
  <si>
    <t xml:space="preserve">Lab Wastewater Generated</t>
  </si>
  <si>
    <t xml:space="preserve">Type = Lab</t>
  </si>
  <si>
    <t xml:space="preserve">Sent to STP (L/day)</t>
  </si>
  <si>
    <t xml:space="preserve">Route = STP</t>
  </si>
  <si>
    <t xml:space="preserve">Sent to ETP (L/day)</t>
  </si>
  <si>
    <t xml:space="preserve">Route = ETP</t>
  </si>
  <si>
    <t xml:space="preserve">Total Treatment Capacity (L/day)</t>
  </si>
  <si>
    <t xml:space="preserve">Treatment Plan</t>
  </si>
  <si>
    <t xml:space="preserve">Total Treated Volume (L/day)</t>
  </si>
  <si>
    <t xml:space="preserve">%</t>
  </si>
  <si>
    <t xml:space="preserve">Treated/Capacity</t>
  </si>
  <si>
    <t xml:space="preserve">Total Reuse Assigned (L/day)</t>
  </si>
  <si>
    <t xml:space="preserve">Reuse Plan</t>
  </si>
  <si>
    <t xml:space="preserve">REUSE % OF GENERATED</t>
  </si>
  <si>
    <t xml:space="preserve">Reuse/Generated — KEY KPI</t>
  </si>
  <si>
    <t xml:space="preserve">REUSE % OF TREATED</t>
  </si>
  <si>
    <t xml:space="preserve">Reuse/Treated</t>
  </si>
  <si>
    <t xml:space="preserve">Untreated / Overflow (L/day)</t>
  </si>
  <si>
    <t xml:space="preserve">Generated−Treated</t>
  </si>
  <si>
    <t xml:space="preserve">Unassigned Treated (L/day)</t>
  </si>
  <si>
    <t xml:space="preserve">Treated−Reused</t>
  </si>
  <si>
    <t xml:space="preserve">Wastewater Management — 5-Year Trend</t>
  </si>
  <si>
    <t xml:space="preserve">Track generation, treatment, and reuse progress for NAAC / Green Audit</t>
  </si>
  <si>
    <t xml:space="preserve">Parameter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</si>
  <si>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</si>
  <si>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</si>
  <si>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</si>
  <si>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</si>
  <si>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</si>
  <si>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5-Year Change</t>
  </si>
  <si>
    <t xml:space="preserve">Growth (%)</t>
  </si>
  <si>
    <t xml:space="preserve">Trend</t>
  </si>
  <si>
    <t xml:space="preserve">Total Generated (KLD)</t>
  </si>
  <si>
    <t xml:space="preserve">Total Reused (KLD)</t>
  </si>
  <si>
    <t xml:space="preserve">Reuse % of Generated</t>
  </si>
  <si>
    <t xml:space="preserve">STP Capacity (KLD)</t>
  </si>
  <si>
    <t xml:space="preserve">ETP Capacity (KLD)</t>
  </si>
  <si>
    <t xml:space="preserve">Sludge Composted (Tonnes/yr)</t>
  </si>
  <si>
    <t xml:space="preserve">Wastewater Audit — Compliance Checklist (NAAC 7.1.4 / CPCB / Green Audit)</t>
  </si>
  <si>
    <t xml:space="preserve">Evidence readiness for accreditation, pollution control board, sustainability reporting</t>
  </si>
  <si>
    <t xml:space="preserve">Audit Item</t>
  </si>
  <si>
    <t xml:space="preserve">Requirement / Description</t>
  </si>
  <si>
    <t xml:space="preserve">Status (✓/✗/IP)</t>
  </si>
  <si>
    <t xml:space="preserve">Date</t>
  </si>
  <si>
    <t xml:space="preserve">Reviewer</t>
  </si>
  <si>
    <t xml:space="preserve">All wastewater sources identified</t>
  </si>
  <si>
    <t xml:space="preserve">Every source (academic, canteen, washrooms, hostels, RO, gardening) logged</t>
  </si>
  <si>
    <t xml:space="preserve">Volumes estimated or metered</t>
  </si>
  <si>
    <t xml:space="preserve">L/day per source documented; meter-based preferred, formula-based acceptable</t>
  </si>
  <si>
    <t xml:space="preserve">Wastewater type classified</t>
  </si>
  <si>
    <t xml:space="preserve">Grey / Black / RO / Lab classification assigned per source</t>
  </si>
  <si>
    <t xml:space="preserve">Routing documented</t>
  </si>
  <si>
    <t xml:space="preserve">Every source routed to STP, ETP, or recharge pit; documented</t>
  </si>
  <si>
    <t xml:space="preserve">Source-wise summary auto-calculated</t>
  </si>
  <si>
    <t xml:space="preserve">Category totals (academic, canteen, etc.) and type totals auto-computed</t>
  </si>
  <si>
    <t xml:space="preserve">STP capacity documented</t>
  </si>
  <si>
    <t xml:space="preserve">Rated capacity (KLD), technology type, commissioning date documented</t>
  </si>
  <si>
    <t xml:space="preserve">ETP capacity documented</t>
  </si>
  <si>
    <t xml:space="preserve">Rated capacity, input sources, treatment process documented</t>
  </si>
  <si>
    <t xml:space="preserve">Inflow auto-linked from sources</t>
  </si>
  <si>
    <t xml:space="preserve">Treatment plant inflow = sum of sources routed to it; auto-calculated</t>
  </si>
  <si>
    <t xml:space="preserve">Treated volume computed</t>
  </si>
  <si>
    <t xml:space="preserve">Treated = min(capacity, inflow); documented per plant</t>
  </si>
  <si>
    <t xml:space="preserve">Capacity utilization tracked</t>
  </si>
  <si>
    <t xml:space="preserve">% utilization = inflow/capacity; overcapacity flagged</t>
  </si>
  <si>
    <t xml:space="preserve">Reuse plan documented</t>
  </si>
  <si>
    <t xml:space="preserve">Every treated water application: gardening, flushing, cleaning, cooling assigned</t>
  </si>
  <si>
    <t xml:space="preserve">Reuse % of generated computed</t>
  </si>
  <si>
    <t xml:space="preserve">KEY KPI: total reuse ÷ total generated × 100; auto-calculated</t>
  </si>
  <si>
    <t xml:space="preserve">CPCB discharge norms met</t>
  </si>
  <si>
    <t xml:space="preserve">Treated effluent quality meets CPCB standards (BOD, TSS, pH, coliform)</t>
  </si>
  <si>
    <t xml:space="preserve">Water quality test reports available</t>
  </si>
  <si>
    <t xml:space="preserve">Regular testing of STP/ETP output; lab reports archived</t>
  </si>
  <si>
    <t xml:space="preserve">Grease traps installed (canteen)</t>
  </si>
  <si>
    <t xml:space="preserve">Grease interceptors at canteen/mess drains; maintenance log maintained</t>
  </si>
  <si>
    <t xml:space="preserve">Lab waste neutralization</t>
  </si>
  <si>
    <t xml:space="preserve">Chemical lab waste neutralized (pH adjustment) before routing to ETP</t>
  </si>
  <si>
    <t xml:space="preserve">RO reject reuse documented</t>
  </si>
  <si>
    <t xml:space="preserve">Reject water quantity and reuse method documented</t>
  </si>
  <si>
    <t xml:space="preserve">Sludge management documented</t>
  </si>
  <si>
    <t xml:space="preserve">Sludge disposal: composting, authorized disposal, or biogas plant</t>
  </si>
  <si>
    <t xml:space="preserve">5-year trend documented</t>
  </si>
  <si>
    <t xml:space="preserve">Generation, treatment, reuse tracked over 5 years</t>
  </si>
  <si>
    <t xml:space="preserve">NAAC 7.1.4 / Green Audit ready</t>
  </si>
  <si>
    <t xml:space="preserve">Complete documentation package for water management criterion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</si>
</sst>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"/>
    <numFmt numFmtId="167" formatCode="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A2E4F"/>
      <name val="Arial"/>
      <family val="0"/>
      <charset val="1"/>
    </font>
    <font>
      <sz val="10"/>
      <color rgb="FF40404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color rgb="FF795548"/>
      <name val="Arial"/>
      <family val="0"/>
      <charset val="1"/>
    </font>
    <font>
      <b val="true"/>
      <sz val="14"/>
      <color rgb="FF795548"/>
      <name val="Arial"/>
      <family val="0"/>
      <charset val="1"/>
    </font>
    <font>
      <b val="true"/>
      <sz val="12"/>
      <color rgb="FF1A2E4F"/>
      <name val="Arial"/>
      <family val="0"/>
      <charset val="1"/>
    </font>
    <font>
      <b val="true"/>
      <sz val="10"/>
      <color rgb="FF1565C0"/>
      <name val="Arial"/>
      <family val="0"/>
      <charset val="1"/>
    </font>
    <font>
      <b val="true"/>
      <sz val="10"/>
      <color rgb="FF548235"/>
      <name val="Arial"/>
      <family val="0"/>
      <charset val="1"/>
    </font>
    <font>
      <b val="true"/>
      <sz val="11"/>
      <color rgb="FF548235"/>
      <name val="Arial"/>
      <family val="0"/>
      <charset val="1"/>
    </font>
    <font>
      <b val="true"/>
      <sz val="12"/>
      <color rgb="FF548235"/>
      <name val="Arial"/>
      <family val="0"/>
      <charset val="1"/>
    </font>
    <font>
      <b val="true"/>
      <sz val="12"/>
      <color rgb="FF2F8F9D"/>
      <name val="Arial"/>
      <family val="0"/>
      <charset val="1"/>
    </font>
    <font>
      <b val="true"/>
      <sz val="14"/>
      <color rgb="FF2F8F9D"/>
      <name val="Arial"/>
      <family val="0"/>
      <charset val="1"/>
    </font>
    <font>
      <b val="true"/>
      <sz val="11"/>
      <color rgb="FF2F8F9D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795548"/>
        <bgColor rgb="FF993366"/>
      </patternFill>
    </fill>
    <fill>
      <patternFill patternType="solid">
        <fgColor rgb="FFE3F2FD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548235"/>
        <bgColor rgb="FF808080"/>
      </patternFill>
    </fill>
    <fill>
      <patternFill patternType="solid">
        <fgColor rgb="FFE2EFDA"/>
        <bgColor rgb="FFE3F2FD"/>
      </patternFill>
    </fill>
    <fill>
      <patternFill patternType="solid">
        <fgColor rgb="FF1A2E4F"/>
        <bgColor rgb="FF404040"/>
      </patternFill>
    </fill>
    <fill>
      <patternFill patternType="solid">
        <fgColor rgb="FF1565C0"/>
        <bgColor rgb="FF0D47A1"/>
      </patternFill>
    </fill>
    <fill>
      <patternFill patternType="solid">
        <fgColor rgb="FFFFF5D9"/>
        <bgColor rgb="FFF2F2F2"/>
      </patternFill>
    </fill>
    <fill>
      <patternFill patternType="solid">
        <fgColor rgb="FF2F8F9D"/>
        <bgColor rgb="FF008080"/>
      </patternFill>
    </fill>
    <fill>
      <patternFill patternType="solid">
        <fgColor rgb="FF8B0000"/>
        <bgColor rgb="FF800000"/>
      </patternFill>
    </fill>
    <fill>
      <patternFill patternType="solid">
        <fgColor rgb="FF0D47A1"/>
        <bgColor rgb="FF1565C0"/>
      </patternFill>
    </fill>
    <fill>
      <patternFill patternType="solid">
        <fgColor rgb="FFF2F2F2"/>
        <bgColor rgb="FFE3F2F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548235"/>
      <rgbColor rgb="FF800080"/>
      <rgbColor rgb="FF008080"/>
      <rgbColor rgb="FFB4B4B4"/>
      <rgbColor rgb="FF808080"/>
      <rgbColor rgb="FF9999FF"/>
      <rgbColor rgb="FF993366"/>
      <rgbColor rgb="FFFFF5D9"/>
      <rgbColor rgb="FFE3F2FD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795548"/>
      <rgbColor rgb="FF969696"/>
      <rgbColor rgb="FF1A2E4F"/>
      <rgbColor rgb="FF2F8F9D"/>
      <rgbColor rgb="FF003300"/>
      <rgbColor rgb="FF333300"/>
      <rgbColor rgb="FF993300"/>
      <rgbColor rgb="FF993366"/>
      <rgbColor rgb="FF0D47A1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95548"/>
    <pageSetUpPr fitToPage="false"/>
  </sheetPr>
  <dimension ref="A1:F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30"/>
    <col collapsed="false" customWidth="true" hidden="false" outlineLevel="0" max="6" min="6" style="0" width="22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customFormat="false" ht="54.75" hidden="false" customHeight="true" outlineLevel="0" collapsed="false">
      <c r="A4" s="4" t="n">
        <v>1</v>
      </c>
      <c r="B4" s="5" t="s">
        <v>8</v>
      </c>
      <c r="C4" s="6" t="s">
        <v>9</v>
      </c>
      <c r="D4" s="7" t="s">
        <v>10</v>
      </c>
      <c r="E4" s="6" t="s">
        <v>11</v>
      </c>
      <c r="F4" s="6" t="s">
        <v>12</v>
      </c>
    </row>
    <row r="5" customFormat="false" ht="54.75" hidden="false" customHeight="true" outlineLevel="0" collapsed="false">
      <c r="A5" s="8" t="n">
        <v>2</v>
      </c>
      <c r="B5" s="9" t="s">
        <v>13</v>
      </c>
      <c r="C5" s="10" t="s">
        <v>14</v>
      </c>
      <c r="D5" s="11" t="s">
        <v>15</v>
      </c>
      <c r="E5" s="10" t="s">
        <v>16</v>
      </c>
      <c r="F5" s="10" t="s">
        <v>17</v>
      </c>
    </row>
    <row r="6" customFormat="false" ht="54.75" hidden="false" customHeight="true" outlineLevel="0" collapsed="false">
      <c r="A6" s="4" t="n">
        <v>3</v>
      </c>
      <c r="B6" s="5" t="s">
        <v>18</v>
      </c>
      <c r="C6" s="6" t="s">
        <v>19</v>
      </c>
      <c r="D6" s="7" t="s">
        <v>20</v>
      </c>
      <c r="E6" s="6" t="s">
        <v>21</v>
      </c>
      <c r="F6" s="6" t="s">
        <v>22</v>
      </c>
    </row>
    <row r="7" customFormat="false" ht="54.75" hidden="false" customHeight="true" outlineLevel="0" collapsed="false">
      <c r="A7" s="8" t="n">
        <v>4</v>
      </c>
      <c r="B7" s="9" t="s">
        <v>23</v>
      </c>
      <c r="C7" s="10" t="s">
        <v>24</v>
      </c>
      <c r="D7" s="11" t="s">
        <v>25</v>
      </c>
      <c r="E7" s="10" t="s">
        <v>26</v>
      </c>
      <c r="F7" s="10" t="s">
        <v>27</v>
      </c>
    </row>
    <row r="8" customFormat="false" ht="54.75" hidden="false" customHeight="true" outlineLevel="0" collapsed="false">
      <c r="A8" s="4" t="n">
        <v>5</v>
      </c>
      <c r="B8" s="5" t="s">
        <v>28</v>
      </c>
      <c r="C8" s="6" t="s">
        <v>29</v>
      </c>
      <c r="D8" s="7" t="s">
        <v>30</v>
      </c>
      <c r="E8" s="6" t="s">
        <v>31</v>
      </c>
      <c r="F8" s="6" t="s">
        <v>32</v>
      </c>
    </row>
    <row r="9" customFormat="false" ht="54.75" hidden="false" customHeight="true" outlineLevel="0" collapsed="false">
      <c r="A9" s="8" t="n">
        <v>6</v>
      </c>
      <c r="B9" s="9" t="s">
        <v>33</v>
      </c>
      <c r="C9" s="10" t="s">
        <v>34</v>
      </c>
      <c r="D9" s="11" t="s">
        <v>35</v>
      </c>
      <c r="E9" s="10" t="s">
        <v>36</v>
      </c>
      <c r="F9" s="10" t="s">
        <v>37</v>
      </c>
    </row>
    <row r="11" customFormat="false" ht="25.5" hidden="false" customHeight="true" outlineLevel="0" collapsed="false">
      <c r="A11" s="12" t="s">
        <v>38</v>
      </c>
      <c r="B11" s="12"/>
      <c r="C11" s="12"/>
      <c r="D11" s="12"/>
      <c r="E11" s="12"/>
      <c r="F11" s="12"/>
    </row>
    <row r="12" customFormat="false" ht="15" hidden="false" customHeight="false" outlineLevel="0" collapsed="false">
      <c r="A12" s="13" t="s">
        <v>2</v>
      </c>
      <c r="B12" s="13" t="s">
        <v>39</v>
      </c>
      <c r="C12" s="13" t="s">
        <v>40</v>
      </c>
      <c r="D12" s="13" t="s">
        <v>41</v>
      </c>
      <c r="E12" s="13" t="s">
        <v>42</v>
      </c>
      <c r="F12" s="13" t="s">
        <v>43</v>
      </c>
    </row>
    <row r="13" customFormat="false" ht="54.75" hidden="false" customHeight="true" outlineLevel="0" collapsed="false">
      <c r="A13" s="14" t="n">
        <v>1</v>
      </c>
      <c r="B13" s="15" t="s">
        <v>44</v>
      </c>
      <c r="C13" s="16" t="s">
        <v>45</v>
      </c>
      <c r="D13" s="16" t="s">
        <v>46</v>
      </c>
      <c r="E13" s="16" t="s">
        <v>47</v>
      </c>
      <c r="F13" s="16" t="s">
        <v>48</v>
      </c>
    </row>
    <row r="14" customFormat="false" ht="54.75" hidden="false" customHeight="true" outlineLevel="0" collapsed="false">
      <c r="A14" s="14" t="n">
        <v>2</v>
      </c>
      <c r="B14" s="15" t="s">
        <v>49</v>
      </c>
      <c r="C14" s="16" t="s">
        <v>50</v>
      </c>
      <c r="D14" s="16" t="s">
        <v>51</v>
      </c>
      <c r="E14" s="16" t="s">
        <v>52</v>
      </c>
      <c r="F14" s="16" t="s">
        <v>53</v>
      </c>
    </row>
    <row r="15" customFormat="false" ht="54.75" hidden="false" customHeight="true" outlineLevel="0" collapsed="false">
      <c r="A15" s="14" t="n">
        <v>3</v>
      </c>
      <c r="B15" s="15" t="s">
        <v>54</v>
      </c>
      <c r="C15" s="16" t="s">
        <v>55</v>
      </c>
      <c r="D15" s="16" t="s">
        <v>56</v>
      </c>
      <c r="E15" s="16" t="s">
        <v>57</v>
      </c>
      <c r="F15" s="16" t="s">
        <v>58</v>
      </c>
    </row>
  </sheetData>
  <mergeCells count="3">
    <mergeCell ref="A1:F1"/>
    <mergeCell ref="A2:F2"/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95548"/>
    <pageSetUpPr fitToPage="false"/>
  </sheetPr>
  <dimension ref="A1:J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22"/>
    <col collapsed="false" customWidth="true" hidden="false" outlineLevel="0" max="8" min="6" style="0" width="18"/>
    <col collapsed="false" customWidth="true" hidden="false" outlineLevel="0" max="9" min="9" style="0" width="22"/>
    <col collapsed="false" customWidth="true" hidden="false" outlineLevel="0" max="10" min="10" style="0" width="14"/>
  </cols>
  <sheetData>
    <row r="1" customFormat="false" ht="33.75" hidden="false" customHeight="true" outlineLevel="0" collapsed="false">
      <c r="A1" s="1" t="s">
        <v>59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5.5" hidden="false" customHeight="true" outlineLevel="0" collapsed="false">
      <c r="A2" s="2" t="s">
        <v>60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35.05" hidden="false" customHeight="false" outlineLevel="0" collapsed="false">
      <c r="A3" s="3" t="s">
        <v>61</v>
      </c>
      <c r="B3" s="3" t="s">
        <v>62</v>
      </c>
      <c r="C3" s="3" t="s">
        <v>3</v>
      </c>
      <c r="D3" s="3" t="s">
        <v>63</v>
      </c>
      <c r="E3" s="3" t="s">
        <v>64</v>
      </c>
      <c r="F3" s="3" t="s">
        <v>65</v>
      </c>
      <c r="G3" s="3" t="s">
        <v>66</v>
      </c>
      <c r="H3" s="3" t="s">
        <v>67</v>
      </c>
      <c r="I3" s="3" t="s">
        <v>68</v>
      </c>
      <c r="J3" s="3" t="s">
        <v>69</v>
      </c>
    </row>
    <row r="4" customFormat="false" ht="23.85" hidden="false" customHeight="false" outlineLevel="0" collapsed="false">
      <c r="A4" s="17" t="n">
        <v>1</v>
      </c>
      <c r="B4" s="18"/>
      <c r="C4" s="5" t="s">
        <v>70</v>
      </c>
      <c r="D4" s="6" t="s">
        <v>71</v>
      </c>
      <c r="E4" s="4" t="s">
        <v>72</v>
      </c>
      <c r="F4" s="19" t="n">
        <v>150</v>
      </c>
      <c r="G4" s="17" t="s">
        <v>73</v>
      </c>
      <c r="H4" s="4" t="s">
        <v>74</v>
      </c>
      <c r="I4" s="17" t="s">
        <v>75</v>
      </c>
      <c r="J4" s="6" t="s">
        <v>76</v>
      </c>
    </row>
    <row r="5" customFormat="false" ht="15" hidden="false" customHeight="false" outlineLevel="0" collapsed="false">
      <c r="A5" s="20" t="n">
        <v>2</v>
      </c>
      <c r="B5" s="21"/>
      <c r="C5" s="9" t="s">
        <v>70</v>
      </c>
      <c r="D5" s="10" t="s">
        <v>77</v>
      </c>
      <c r="E5" s="8" t="s">
        <v>78</v>
      </c>
      <c r="F5" s="22" t="n">
        <v>200</v>
      </c>
      <c r="G5" s="20" t="s">
        <v>79</v>
      </c>
      <c r="H5" s="8" t="s">
        <v>80</v>
      </c>
      <c r="I5" s="20" t="s">
        <v>75</v>
      </c>
      <c r="J5" s="10"/>
    </row>
    <row r="6" customFormat="false" ht="15" hidden="false" customHeight="false" outlineLevel="0" collapsed="false">
      <c r="A6" s="17" t="n">
        <v>3</v>
      </c>
      <c r="B6" s="18"/>
      <c r="C6" s="5" t="s">
        <v>70</v>
      </c>
      <c r="D6" s="6" t="s">
        <v>81</v>
      </c>
      <c r="E6" s="4" t="s">
        <v>78</v>
      </c>
      <c r="F6" s="19" t="n">
        <v>180</v>
      </c>
      <c r="G6" s="17" t="s">
        <v>82</v>
      </c>
      <c r="H6" s="4" t="s">
        <v>80</v>
      </c>
      <c r="I6" s="17" t="s">
        <v>75</v>
      </c>
      <c r="J6" s="6"/>
    </row>
    <row r="7" customFormat="false" ht="23.85" hidden="false" customHeight="false" outlineLevel="0" collapsed="false">
      <c r="A7" s="20" t="n">
        <v>4</v>
      </c>
      <c r="B7" s="21"/>
      <c r="C7" s="9" t="s">
        <v>70</v>
      </c>
      <c r="D7" s="10" t="s">
        <v>83</v>
      </c>
      <c r="E7" s="8" t="s">
        <v>78</v>
      </c>
      <c r="F7" s="22" t="n">
        <v>100</v>
      </c>
      <c r="G7" s="20" t="s">
        <v>84</v>
      </c>
      <c r="H7" s="8" t="s">
        <v>80</v>
      </c>
      <c r="I7" s="20" t="s">
        <v>75</v>
      </c>
      <c r="J7" s="10" t="s">
        <v>85</v>
      </c>
    </row>
    <row r="8" customFormat="false" ht="15" hidden="false" customHeight="false" outlineLevel="0" collapsed="false">
      <c r="A8" s="17" t="n">
        <v>5</v>
      </c>
      <c r="B8" s="18"/>
      <c r="C8" s="5" t="s">
        <v>13</v>
      </c>
      <c r="D8" s="6" t="s">
        <v>86</v>
      </c>
      <c r="E8" s="4" t="s">
        <v>78</v>
      </c>
      <c r="F8" s="19" t="n">
        <v>500</v>
      </c>
      <c r="G8" s="17" t="s">
        <v>87</v>
      </c>
      <c r="H8" s="4" t="s">
        <v>80</v>
      </c>
      <c r="I8" s="17" t="s">
        <v>88</v>
      </c>
      <c r="J8" s="6" t="s">
        <v>89</v>
      </c>
    </row>
    <row r="9" customFormat="false" ht="15" hidden="false" customHeight="false" outlineLevel="0" collapsed="false">
      <c r="A9" s="20" t="n">
        <v>6</v>
      </c>
      <c r="B9" s="21"/>
      <c r="C9" s="9" t="s">
        <v>13</v>
      </c>
      <c r="D9" s="10" t="s">
        <v>90</v>
      </c>
      <c r="E9" s="8" t="s">
        <v>78</v>
      </c>
      <c r="F9" s="22" t="n">
        <v>400</v>
      </c>
      <c r="G9" s="20" t="s">
        <v>91</v>
      </c>
      <c r="H9" s="8" t="s">
        <v>80</v>
      </c>
      <c r="I9" s="20" t="s">
        <v>88</v>
      </c>
      <c r="J9" s="10" t="s">
        <v>89</v>
      </c>
    </row>
    <row r="10" customFormat="false" ht="23.85" hidden="false" customHeight="false" outlineLevel="0" collapsed="false">
      <c r="A10" s="17" t="n">
        <v>7</v>
      </c>
      <c r="B10" s="18"/>
      <c r="C10" s="5" t="s">
        <v>18</v>
      </c>
      <c r="D10" s="6" t="s">
        <v>92</v>
      </c>
      <c r="E10" s="4" t="s">
        <v>93</v>
      </c>
      <c r="F10" s="19" t="n">
        <v>800</v>
      </c>
      <c r="G10" s="17" t="s">
        <v>94</v>
      </c>
      <c r="H10" s="4" t="s">
        <v>80</v>
      </c>
      <c r="I10" s="17" t="s">
        <v>95</v>
      </c>
      <c r="J10" s="6" t="s">
        <v>96</v>
      </c>
    </row>
    <row r="11" customFormat="false" ht="15" hidden="false" customHeight="false" outlineLevel="0" collapsed="false">
      <c r="A11" s="20" t="n">
        <v>8</v>
      </c>
      <c r="B11" s="21"/>
      <c r="C11" s="9" t="s">
        <v>18</v>
      </c>
      <c r="D11" s="10" t="s">
        <v>97</v>
      </c>
      <c r="E11" s="8" t="s">
        <v>93</v>
      </c>
      <c r="F11" s="22" t="n">
        <v>200</v>
      </c>
      <c r="G11" s="20" t="s">
        <v>98</v>
      </c>
      <c r="H11" s="8" t="s">
        <v>80</v>
      </c>
      <c r="I11" s="20" t="s">
        <v>95</v>
      </c>
      <c r="J11" s="10"/>
    </row>
    <row r="12" customFormat="false" ht="15" hidden="false" customHeight="false" outlineLevel="0" collapsed="false">
      <c r="A12" s="17" t="n">
        <v>9</v>
      </c>
      <c r="B12" s="18"/>
      <c r="C12" s="5" t="s">
        <v>99</v>
      </c>
      <c r="D12" s="6" t="s">
        <v>100</v>
      </c>
      <c r="E12" s="4" t="s">
        <v>78</v>
      </c>
      <c r="F12" s="19" t="n">
        <v>600</v>
      </c>
      <c r="G12" s="17" t="s">
        <v>101</v>
      </c>
      <c r="H12" s="4" t="s">
        <v>80</v>
      </c>
      <c r="I12" s="17" t="s">
        <v>75</v>
      </c>
      <c r="J12" s="6"/>
    </row>
    <row r="13" customFormat="false" ht="15" hidden="false" customHeight="false" outlineLevel="0" collapsed="false">
      <c r="A13" s="20" t="n">
        <v>10</v>
      </c>
      <c r="B13" s="21"/>
      <c r="C13" s="9" t="s">
        <v>99</v>
      </c>
      <c r="D13" s="10" t="s">
        <v>102</v>
      </c>
      <c r="E13" s="8" t="s">
        <v>93</v>
      </c>
      <c r="F13" s="22" t="n">
        <v>400</v>
      </c>
      <c r="G13" s="20" t="s">
        <v>103</v>
      </c>
      <c r="H13" s="8" t="s">
        <v>80</v>
      </c>
      <c r="I13" s="20" t="s">
        <v>95</v>
      </c>
      <c r="J13" s="10"/>
    </row>
    <row r="14" customFormat="false" ht="15" hidden="false" customHeight="false" outlineLevel="0" collapsed="false">
      <c r="A14" s="17" t="n">
        <v>11</v>
      </c>
      <c r="B14" s="18"/>
      <c r="C14" s="5" t="s">
        <v>99</v>
      </c>
      <c r="D14" s="6" t="s">
        <v>104</v>
      </c>
      <c r="E14" s="4" t="s">
        <v>78</v>
      </c>
      <c r="F14" s="19" t="n">
        <v>500</v>
      </c>
      <c r="G14" s="17" t="s">
        <v>105</v>
      </c>
      <c r="H14" s="4" t="s">
        <v>80</v>
      </c>
      <c r="I14" s="17" t="s">
        <v>75</v>
      </c>
      <c r="J14" s="6"/>
    </row>
    <row r="15" customFormat="false" ht="23.85" hidden="false" customHeight="false" outlineLevel="0" collapsed="false">
      <c r="A15" s="20" t="n">
        <v>12</v>
      </c>
      <c r="B15" s="21"/>
      <c r="C15" s="9" t="s">
        <v>99</v>
      </c>
      <c r="D15" s="10" t="s">
        <v>106</v>
      </c>
      <c r="E15" s="8" t="s">
        <v>78</v>
      </c>
      <c r="F15" s="22" t="n">
        <v>700</v>
      </c>
      <c r="G15" s="20" t="s">
        <v>107</v>
      </c>
      <c r="H15" s="8" t="s">
        <v>80</v>
      </c>
      <c r="I15" s="20" t="s">
        <v>75</v>
      </c>
      <c r="J15" s="10" t="s">
        <v>108</v>
      </c>
    </row>
    <row r="16" customFormat="false" ht="15" hidden="false" customHeight="false" outlineLevel="0" collapsed="false">
      <c r="A16" s="17" t="n">
        <v>13</v>
      </c>
      <c r="B16" s="18"/>
      <c r="C16" s="5" t="s">
        <v>99</v>
      </c>
      <c r="D16" s="6" t="s">
        <v>109</v>
      </c>
      <c r="E16" s="4" t="s">
        <v>78</v>
      </c>
      <c r="F16" s="19" t="n">
        <v>300</v>
      </c>
      <c r="G16" s="17" t="s">
        <v>110</v>
      </c>
      <c r="H16" s="4" t="s">
        <v>80</v>
      </c>
      <c r="I16" s="17" t="s">
        <v>75</v>
      </c>
      <c r="J16" s="6" t="s">
        <v>111</v>
      </c>
    </row>
    <row r="17" customFormat="false" ht="23.85" hidden="false" customHeight="false" outlineLevel="0" collapsed="false">
      <c r="A17" s="20" t="n">
        <v>14</v>
      </c>
      <c r="B17" s="21"/>
      <c r="C17" s="9" t="s">
        <v>112</v>
      </c>
      <c r="D17" s="10" t="s">
        <v>113</v>
      </c>
      <c r="E17" s="8" t="s">
        <v>114</v>
      </c>
      <c r="F17" s="22" t="n">
        <v>800</v>
      </c>
      <c r="G17" s="20" t="s">
        <v>115</v>
      </c>
      <c r="H17" s="8" t="s">
        <v>74</v>
      </c>
      <c r="I17" s="20" t="s">
        <v>88</v>
      </c>
      <c r="J17" s="10" t="s">
        <v>116</v>
      </c>
    </row>
    <row r="18" customFormat="false" ht="23.85" hidden="false" customHeight="false" outlineLevel="0" collapsed="false">
      <c r="A18" s="17" t="n">
        <v>15</v>
      </c>
      <c r="B18" s="18"/>
      <c r="C18" s="5" t="s">
        <v>117</v>
      </c>
      <c r="D18" s="6" t="s">
        <v>118</v>
      </c>
      <c r="E18" s="4" t="s">
        <v>78</v>
      </c>
      <c r="F18" s="19" t="n">
        <v>100</v>
      </c>
      <c r="G18" s="17" t="s">
        <v>119</v>
      </c>
      <c r="H18" s="4" t="s">
        <v>119</v>
      </c>
      <c r="I18" s="17" t="s">
        <v>75</v>
      </c>
      <c r="J18" s="6" t="s">
        <v>120</v>
      </c>
    </row>
    <row r="19" customFormat="false" ht="15" hidden="false" customHeight="false" outlineLevel="0" collapsed="false">
      <c r="A19" s="20" t="n">
        <v>16</v>
      </c>
      <c r="B19" s="21"/>
      <c r="C19" s="21"/>
      <c r="D19" s="21"/>
      <c r="E19" s="21"/>
      <c r="F19" s="23"/>
      <c r="G19" s="21"/>
      <c r="H19" s="21"/>
      <c r="I19" s="21"/>
      <c r="J19" s="21"/>
    </row>
    <row r="20" customFormat="false" ht="15" hidden="false" customHeight="false" outlineLevel="0" collapsed="false">
      <c r="A20" s="17" t="n">
        <v>17</v>
      </c>
      <c r="B20" s="18"/>
      <c r="C20" s="18"/>
      <c r="D20" s="18"/>
      <c r="E20" s="18"/>
      <c r="F20" s="24"/>
      <c r="G20" s="18"/>
      <c r="H20" s="18"/>
      <c r="I20" s="18"/>
      <c r="J20" s="18"/>
    </row>
    <row r="21" customFormat="false" ht="15" hidden="false" customHeight="false" outlineLevel="0" collapsed="false">
      <c r="A21" s="20" t="n">
        <v>18</v>
      </c>
      <c r="B21" s="21"/>
      <c r="C21" s="21"/>
      <c r="D21" s="21"/>
      <c r="E21" s="21"/>
      <c r="F21" s="23"/>
      <c r="G21" s="21"/>
      <c r="H21" s="21"/>
      <c r="I21" s="21"/>
      <c r="J21" s="21"/>
    </row>
    <row r="22" customFormat="false" ht="15" hidden="false" customHeight="false" outlineLevel="0" collapsed="false">
      <c r="A22" s="17" t="n">
        <v>19</v>
      </c>
      <c r="B22" s="18"/>
      <c r="C22" s="18"/>
      <c r="D22" s="18"/>
      <c r="E22" s="18"/>
      <c r="F22" s="24"/>
      <c r="G22" s="18"/>
      <c r="H22" s="18"/>
      <c r="I22" s="18"/>
      <c r="J22" s="18"/>
    </row>
    <row r="23" customFormat="false" ht="15" hidden="false" customHeight="false" outlineLevel="0" collapsed="false">
      <c r="A23" s="20" t="n">
        <v>20</v>
      </c>
      <c r="B23" s="21"/>
      <c r="C23" s="21"/>
      <c r="D23" s="21"/>
      <c r="E23" s="21"/>
      <c r="F23" s="23"/>
      <c r="G23" s="21"/>
      <c r="H23" s="21"/>
      <c r="I23" s="21"/>
      <c r="J23" s="21"/>
    </row>
    <row r="24" customFormat="false" ht="15" hidden="false" customHeight="false" outlineLevel="0" collapsed="false">
      <c r="A24" s="17" t="n">
        <v>21</v>
      </c>
      <c r="B24" s="18"/>
      <c r="C24" s="18"/>
      <c r="D24" s="18"/>
      <c r="E24" s="18"/>
      <c r="F24" s="24"/>
      <c r="G24" s="18"/>
      <c r="H24" s="18"/>
      <c r="I24" s="18"/>
      <c r="J24" s="18"/>
    </row>
    <row r="25" customFormat="false" ht="15" hidden="false" customHeight="false" outlineLevel="0" collapsed="false">
      <c r="A25" s="20" t="n">
        <v>22</v>
      </c>
      <c r="B25" s="21"/>
      <c r="C25" s="21"/>
      <c r="D25" s="21"/>
      <c r="E25" s="21"/>
      <c r="F25" s="23"/>
      <c r="G25" s="21"/>
      <c r="H25" s="21"/>
      <c r="I25" s="21"/>
      <c r="J25" s="21"/>
    </row>
    <row r="26" customFormat="false" ht="15" hidden="false" customHeight="false" outlineLevel="0" collapsed="false">
      <c r="A26" s="17" t="n">
        <v>23</v>
      </c>
      <c r="B26" s="18"/>
      <c r="C26" s="18"/>
      <c r="D26" s="18"/>
      <c r="E26" s="18"/>
      <c r="F26" s="24"/>
      <c r="G26" s="18"/>
      <c r="H26" s="18"/>
      <c r="I26" s="18"/>
      <c r="J26" s="18"/>
    </row>
    <row r="27" customFormat="false" ht="15" hidden="false" customHeight="false" outlineLevel="0" collapsed="false">
      <c r="A27" s="20" t="n">
        <v>24</v>
      </c>
      <c r="B27" s="21"/>
      <c r="C27" s="21"/>
      <c r="D27" s="21"/>
      <c r="E27" s="21"/>
      <c r="F27" s="23"/>
      <c r="G27" s="21"/>
      <c r="H27" s="21"/>
      <c r="I27" s="21"/>
      <c r="J27" s="21"/>
    </row>
    <row r="28" customFormat="false" ht="15" hidden="false" customHeight="false" outlineLevel="0" collapsed="false">
      <c r="A28" s="17" t="n">
        <v>25</v>
      </c>
      <c r="B28" s="18"/>
      <c r="C28" s="18"/>
      <c r="D28" s="18"/>
      <c r="E28" s="18"/>
      <c r="F28" s="24"/>
      <c r="G28" s="18"/>
      <c r="H28" s="18"/>
      <c r="I28" s="18"/>
      <c r="J28" s="18"/>
    </row>
    <row r="29" customFormat="false" ht="15" hidden="false" customHeight="false" outlineLevel="0" collapsed="false">
      <c r="A29" s="20" t="n">
        <v>26</v>
      </c>
      <c r="B29" s="21"/>
      <c r="C29" s="21"/>
      <c r="D29" s="21"/>
      <c r="E29" s="21"/>
      <c r="F29" s="23"/>
      <c r="G29" s="21"/>
      <c r="H29" s="21"/>
      <c r="I29" s="21"/>
      <c r="J29" s="21"/>
    </row>
    <row r="30" customFormat="false" ht="15" hidden="false" customHeight="false" outlineLevel="0" collapsed="false">
      <c r="A30" s="17" t="n">
        <v>27</v>
      </c>
      <c r="B30" s="18"/>
      <c r="C30" s="18"/>
      <c r="D30" s="18"/>
      <c r="E30" s="18"/>
      <c r="F30" s="24"/>
      <c r="G30" s="18"/>
      <c r="H30" s="18"/>
      <c r="I30" s="18"/>
      <c r="J30" s="18"/>
    </row>
    <row r="31" customFormat="false" ht="15" hidden="false" customHeight="false" outlineLevel="0" collapsed="false">
      <c r="A31" s="20" t="n">
        <v>28</v>
      </c>
      <c r="B31" s="21"/>
      <c r="C31" s="21"/>
      <c r="D31" s="21"/>
      <c r="E31" s="21"/>
      <c r="F31" s="23"/>
      <c r="G31" s="21"/>
      <c r="H31" s="21"/>
      <c r="I31" s="21"/>
      <c r="J31" s="21"/>
    </row>
    <row r="32" customFormat="false" ht="15" hidden="false" customHeight="false" outlineLevel="0" collapsed="false">
      <c r="A32" s="17" t="n">
        <v>29</v>
      </c>
      <c r="B32" s="18"/>
      <c r="C32" s="18"/>
      <c r="D32" s="18"/>
      <c r="E32" s="18"/>
      <c r="F32" s="24"/>
      <c r="G32" s="18"/>
      <c r="H32" s="18"/>
      <c r="I32" s="18"/>
      <c r="J32" s="18"/>
    </row>
    <row r="33" customFormat="false" ht="15" hidden="false" customHeight="false" outlineLevel="0" collapsed="false">
      <c r="A33" s="20" t="n">
        <v>30</v>
      </c>
      <c r="B33" s="21"/>
      <c r="C33" s="21"/>
      <c r="D33" s="21"/>
      <c r="E33" s="21"/>
      <c r="F33" s="23"/>
      <c r="G33" s="21"/>
      <c r="H33" s="21"/>
      <c r="I33" s="21"/>
      <c r="J33" s="21"/>
    </row>
    <row r="34" customFormat="false" ht="15" hidden="false" customHeight="false" outlineLevel="0" collapsed="false">
      <c r="A34" s="17" t="n">
        <v>31</v>
      </c>
      <c r="B34" s="18"/>
      <c r="C34" s="18"/>
      <c r="D34" s="18"/>
      <c r="E34" s="18"/>
      <c r="F34" s="24"/>
      <c r="G34" s="18"/>
      <c r="H34" s="18"/>
      <c r="I34" s="18"/>
      <c r="J34" s="18"/>
    </row>
    <row r="35" customFormat="false" ht="15" hidden="false" customHeight="false" outlineLevel="0" collapsed="false">
      <c r="A35" s="20" t="n">
        <v>32</v>
      </c>
      <c r="B35" s="21"/>
      <c r="C35" s="21"/>
      <c r="D35" s="21"/>
      <c r="E35" s="21"/>
      <c r="F35" s="23"/>
      <c r="G35" s="21"/>
      <c r="H35" s="21"/>
      <c r="I35" s="21"/>
      <c r="J35" s="21"/>
    </row>
    <row r="36" customFormat="false" ht="15" hidden="false" customHeight="false" outlineLevel="0" collapsed="false">
      <c r="A36" s="17" t="n">
        <v>33</v>
      </c>
      <c r="B36" s="18"/>
      <c r="C36" s="18"/>
      <c r="D36" s="18"/>
      <c r="E36" s="18"/>
      <c r="F36" s="24"/>
      <c r="G36" s="18"/>
      <c r="H36" s="18"/>
      <c r="I36" s="18"/>
      <c r="J36" s="18"/>
    </row>
    <row r="37" customFormat="false" ht="15" hidden="false" customHeight="false" outlineLevel="0" collapsed="false">
      <c r="A37" s="20" t="n">
        <v>34</v>
      </c>
      <c r="B37" s="21"/>
      <c r="C37" s="21"/>
      <c r="D37" s="21"/>
      <c r="E37" s="21"/>
      <c r="F37" s="23"/>
      <c r="G37" s="21"/>
      <c r="H37" s="21"/>
      <c r="I37" s="21"/>
      <c r="J37" s="21"/>
    </row>
    <row r="38" customFormat="false" ht="15" hidden="false" customHeight="false" outlineLevel="0" collapsed="false">
      <c r="A38" s="17" t="n">
        <v>35</v>
      </c>
      <c r="B38" s="18"/>
      <c r="C38" s="18"/>
      <c r="D38" s="18"/>
      <c r="E38" s="18"/>
      <c r="F38" s="24"/>
      <c r="G38" s="18"/>
      <c r="H38" s="18"/>
      <c r="I38" s="18"/>
      <c r="J38" s="18"/>
    </row>
    <row r="39" customFormat="false" ht="15" hidden="false" customHeight="false" outlineLevel="0" collapsed="false">
      <c r="A39" s="20" t="n">
        <v>36</v>
      </c>
      <c r="B39" s="21"/>
      <c r="C39" s="21"/>
      <c r="D39" s="21"/>
      <c r="E39" s="21"/>
      <c r="F39" s="23"/>
      <c r="G39" s="21"/>
      <c r="H39" s="21"/>
      <c r="I39" s="21"/>
      <c r="J39" s="21"/>
    </row>
    <row r="40" customFormat="false" ht="15" hidden="false" customHeight="false" outlineLevel="0" collapsed="false">
      <c r="A40" s="17" t="n">
        <v>37</v>
      </c>
      <c r="B40" s="18"/>
      <c r="C40" s="18"/>
      <c r="D40" s="18"/>
      <c r="E40" s="18"/>
      <c r="F40" s="24"/>
      <c r="G40" s="18"/>
      <c r="H40" s="18"/>
      <c r="I40" s="18"/>
      <c r="J40" s="18"/>
    </row>
    <row r="41" customFormat="false" ht="15" hidden="false" customHeight="false" outlineLevel="0" collapsed="false">
      <c r="A41" s="20" t="n">
        <v>38</v>
      </c>
      <c r="B41" s="21"/>
      <c r="C41" s="21"/>
      <c r="D41" s="21"/>
      <c r="E41" s="21"/>
      <c r="F41" s="23"/>
      <c r="G41" s="21"/>
      <c r="H41" s="21"/>
      <c r="I41" s="21"/>
      <c r="J41" s="21"/>
    </row>
    <row r="42" customFormat="false" ht="15" hidden="false" customHeight="false" outlineLevel="0" collapsed="false">
      <c r="A42" s="17" t="n">
        <v>39</v>
      </c>
      <c r="B42" s="18"/>
      <c r="C42" s="18"/>
      <c r="D42" s="18"/>
      <c r="E42" s="18"/>
      <c r="F42" s="24"/>
      <c r="G42" s="18"/>
      <c r="H42" s="18"/>
      <c r="I42" s="18"/>
      <c r="J42" s="18"/>
    </row>
    <row r="43" customFormat="false" ht="15" hidden="false" customHeight="false" outlineLevel="0" collapsed="false">
      <c r="A43" s="20" t="n">
        <v>40</v>
      </c>
      <c r="B43" s="21"/>
      <c r="C43" s="21"/>
      <c r="D43" s="21"/>
      <c r="E43" s="21"/>
      <c r="F43" s="23"/>
      <c r="G43" s="21"/>
      <c r="H43" s="21"/>
      <c r="I43" s="21"/>
      <c r="J43" s="21"/>
    </row>
    <row r="44" customFormat="false" ht="15" hidden="false" customHeight="false" outlineLevel="0" collapsed="false">
      <c r="A44" s="17" t="n">
        <v>41</v>
      </c>
      <c r="B44" s="18"/>
      <c r="C44" s="18"/>
      <c r="D44" s="18"/>
      <c r="E44" s="18"/>
      <c r="F44" s="24"/>
      <c r="G44" s="18"/>
      <c r="H44" s="18"/>
      <c r="I44" s="18"/>
      <c r="J44" s="18"/>
    </row>
    <row r="45" customFormat="false" ht="15" hidden="false" customHeight="false" outlineLevel="0" collapsed="false">
      <c r="A45" s="20" t="n">
        <v>42</v>
      </c>
      <c r="B45" s="21"/>
      <c r="C45" s="21"/>
      <c r="D45" s="21"/>
      <c r="E45" s="21"/>
      <c r="F45" s="23"/>
      <c r="G45" s="21"/>
      <c r="H45" s="21"/>
      <c r="I45" s="21"/>
      <c r="J45" s="21"/>
    </row>
    <row r="46" customFormat="false" ht="15" hidden="false" customHeight="false" outlineLevel="0" collapsed="false">
      <c r="A46" s="17" t="n">
        <v>43</v>
      </c>
      <c r="B46" s="18"/>
      <c r="C46" s="18"/>
      <c r="D46" s="18"/>
      <c r="E46" s="18"/>
      <c r="F46" s="24"/>
      <c r="G46" s="18"/>
      <c r="H46" s="18"/>
      <c r="I46" s="18"/>
      <c r="J46" s="18"/>
    </row>
    <row r="47" customFormat="false" ht="15" hidden="false" customHeight="false" outlineLevel="0" collapsed="false">
      <c r="A47" s="20" t="n">
        <v>44</v>
      </c>
      <c r="B47" s="21"/>
      <c r="C47" s="21"/>
      <c r="D47" s="21"/>
      <c r="E47" s="21"/>
      <c r="F47" s="23"/>
      <c r="G47" s="21"/>
      <c r="H47" s="21"/>
      <c r="I47" s="21"/>
      <c r="J47" s="21"/>
    </row>
    <row r="48" customFormat="false" ht="15" hidden="false" customHeight="false" outlineLevel="0" collapsed="false">
      <c r="A48" s="17" t="n">
        <v>45</v>
      </c>
      <c r="B48" s="18"/>
      <c r="C48" s="18"/>
      <c r="D48" s="18"/>
      <c r="E48" s="18"/>
      <c r="F48" s="24"/>
      <c r="G48" s="18"/>
      <c r="H48" s="18"/>
      <c r="I48" s="18"/>
      <c r="J48" s="18"/>
    </row>
    <row r="49" customFormat="false" ht="15" hidden="false" customHeight="false" outlineLevel="0" collapsed="false">
      <c r="A49" s="20" t="n">
        <v>46</v>
      </c>
      <c r="B49" s="21"/>
      <c r="C49" s="21"/>
      <c r="D49" s="21"/>
      <c r="E49" s="21"/>
      <c r="F49" s="23"/>
      <c r="G49" s="21"/>
      <c r="H49" s="21"/>
      <c r="I49" s="21"/>
      <c r="J49" s="21"/>
    </row>
    <row r="50" customFormat="false" ht="15" hidden="false" customHeight="false" outlineLevel="0" collapsed="false">
      <c r="A50" s="17" t="n">
        <v>47</v>
      </c>
      <c r="B50" s="18"/>
      <c r="C50" s="18"/>
      <c r="D50" s="18"/>
      <c r="E50" s="18"/>
      <c r="F50" s="24"/>
      <c r="G50" s="18"/>
      <c r="H50" s="18"/>
      <c r="I50" s="18"/>
      <c r="J50" s="18"/>
    </row>
    <row r="51" customFormat="false" ht="15" hidden="false" customHeight="false" outlineLevel="0" collapsed="false">
      <c r="A51" s="20" t="n">
        <v>48</v>
      </c>
      <c r="B51" s="21"/>
      <c r="C51" s="21"/>
      <c r="D51" s="21"/>
      <c r="E51" s="21"/>
      <c r="F51" s="23"/>
      <c r="G51" s="21"/>
      <c r="H51" s="21"/>
      <c r="I51" s="21"/>
      <c r="J51" s="21"/>
    </row>
    <row r="52" customFormat="false" ht="15" hidden="false" customHeight="false" outlineLevel="0" collapsed="false">
      <c r="A52" s="17" t="n">
        <v>49</v>
      </c>
      <c r="B52" s="18"/>
      <c r="C52" s="18"/>
      <c r="D52" s="18"/>
      <c r="E52" s="18"/>
      <c r="F52" s="24"/>
      <c r="G52" s="18"/>
      <c r="H52" s="18"/>
      <c r="I52" s="18"/>
      <c r="J52" s="18"/>
    </row>
    <row r="53" customFormat="false" ht="15" hidden="false" customHeight="false" outlineLevel="0" collapsed="false">
      <c r="A53" s="20" t="n">
        <v>50</v>
      </c>
      <c r="B53" s="21"/>
      <c r="C53" s="21"/>
      <c r="D53" s="21"/>
      <c r="E53" s="21"/>
      <c r="F53" s="23"/>
      <c r="G53" s="21"/>
      <c r="H53" s="21"/>
      <c r="I53" s="21"/>
      <c r="J53" s="21"/>
    </row>
    <row r="54" customFormat="false" ht="25.5" hidden="false" customHeight="true" outlineLevel="0" collapsed="false">
      <c r="A54" s="25" t="s">
        <v>121</v>
      </c>
      <c r="B54" s="25"/>
      <c r="C54" s="25"/>
      <c r="D54" s="25"/>
      <c r="E54" s="25"/>
      <c r="F54" s="25"/>
      <c r="G54" s="25"/>
      <c r="H54" s="25"/>
      <c r="I54" s="25"/>
      <c r="J54" s="25"/>
    </row>
    <row r="55" customFormat="false" ht="15" hidden="false" customHeight="false" outlineLevel="0" collapsed="false">
      <c r="A55" s="26"/>
      <c r="B55" s="26"/>
      <c r="C55" s="26" t="s">
        <v>3</v>
      </c>
      <c r="D55" s="26"/>
      <c r="E55" s="26"/>
      <c r="F55" s="26" t="s">
        <v>122</v>
      </c>
      <c r="G55" s="26"/>
      <c r="H55" s="26" t="s">
        <v>123</v>
      </c>
      <c r="I55" s="26"/>
      <c r="J55" s="26"/>
    </row>
    <row r="56" customFormat="false" ht="15" hidden="false" customHeight="true" outlineLevel="0" collapsed="false">
      <c r="A56" s="15" t="s">
        <v>70</v>
      </c>
      <c r="B56" s="15"/>
      <c r="C56" s="15"/>
      <c r="D56" s="15"/>
      <c r="E56" s="27"/>
      <c r="F56" s="28" t="n">
        <f aca="false">SUMPRODUCT((C4:C53="Academic Dept")*F4:F53)</f>
        <v>630</v>
      </c>
      <c r="G56" s="27"/>
      <c r="H56" s="29" t="n">
        <f aca="false">IF(SUM(F4:F53)&gt;0,F56/SUM(F4:F53)*100,0)</f>
        <v>10.6239460370995</v>
      </c>
      <c r="I56" s="27"/>
      <c r="J56" s="27"/>
    </row>
    <row r="57" customFormat="false" ht="15" hidden="false" customHeight="true" outlineLevel="0" collapsed="false">
      <c r="A57" s="15" t="s">
        <v>13</v>
      </c>
      <c r="B57" s="15"/>
      <c r="C57" s="15"/>
      <c r="D57" s="15"/>
      <c r="E57" s="27"/>
      <c r="F57" s="28" t="n">
        <f aca="false">SUMPRODUCT((C4:C53="Canteen &amp; Mess")*F4:F53)</f>
        <v>900</v>
      </c>
      <c r="G57" s="27"/>
      <c r="H57" s="29" t="n">
        <f aca="false">IF(SUM(F4:F53)&gt;0,F57/SUM(F4:F53)*100,0)</f>
        <v>15.177065767285</v>
      </c>
      <c r="I57" s="27"/>
      <c r="J57" s="27"/>
    </row>
    <row r="58" customFormat="false" ht="15" hidden="false" customHeight="true" outlineLevel="0" collapsed="false">
      <c r="A58" s="15" t="s">
        <v>18</v>
      </c>
      <c r="B58" s="15"/>
      <c r="C58" s="15"/>
      <c r="D58" s="15"/>
      <c r="E58" s="27"/>
      <c r="F58" s="28" t="n">
        <f aca="false">SUMPRODUCT((C4:C53="Washrooms &amp; Toilets")*F4:F53)</f>
        <v>1000</v>
      </c>
      <c r="G58" s="27"/>
      <c r="H58" s="29" t="n">
        <f aca="false">IF(SUM(F4:F53)&gt;0,F58/SUM(F4:F53)*100,0)</f>
        <v>16.8634064080944</v>
      </c>
      <c r="I58" s="27"/>
      <c r="J58" s="27"/>
    </row>
    <row r="59" customFormat="false" ht="15" hidden="false" customHeight="true" outlineLevel="0" collapsed="false">
      <c r="A59" s="15" t="s">
        <v>99</v>
      </c>
      <c r="B59" s="15"/>
      <c r="C59" s="15"/>
      <c r="D59" s="15"/>
      <c r="E59" s="27"/>
      <c r="F59" s="28" t="n">
        <f aca="false">SUMPRODUCT((C4:C53="Hostels")*F4:F53)</f>
        <v>2500</v>
      </c>
      <c r="G59" s="27"/>
      <c r="H59" s="29" t="n">
        <f aca="false">IF(SUM(F4:F53)&gt;0,F59/SUM(F4:F53)*100,0)</f>
        <v>42.1585160202361</v>
      </c>
      <c r="I59" s="27"/>
      <c r="J59" s="27"/>
    </row>
    <row r="60" customFormat="false" ht="15" hidden="false" customHeight="true" outlineLevel="0" collapsed="false">
      <c r="A60" s="15" t="s">
        <v>112</v>
      </c>
      <c r="B60" s="15"/>
      <c r="C60" s="15"/>
      <c r="D60" s="15"/>
      <c r="E60" s="27"/>
      <c r="F60" s="28" t="n">
        <f aca="false">SUMPRODUCT((C4:C53="RO Plant")*F4:F53)</f>
        <v>800</v>
      </c>
      <c r="G60" s="27"/>
      <c r="H60" s="29" t="n">
        <f aca="false">IF(SUM(F4:F53)&gt;0,F60/SUM(F4:F53)*100,0)</f>
        <v>13.4907251264755</v>
      </c>
      <c r="I60" s="27"/>
      <c r="J60" s="27"/>
    </row>
    <row r="61" customFormat="false" ht="15" hidden="false" customHeight="true" outlineLevel="0" collapsed="false">
      <c r="A61" s="15" t="s">
        <v>117</v>
      </c>
      <c r="B61" s="15"/>
      <c r="C61" s="15"/>
      <c r="D61" s="15"/>
      <c r="E61" s="27"/>
      <c r="F61" s="28" t="n">
        <f aca="false">SUMPRODUCT((C4:C53="Gardening")*F4:F53)</f>
        <v>100</v>
      </c>
      <c r="G61" s="27"/>
      <c r="H61" s="29" t="n">
        <f aca="false">IF(SUM(F4:F53)&gt;0,F61/SUM(F4:F53)*100,0)</f>
        <v>1.68634064080944</v>
      </c>
      <c r="I61" s="27"/>
      <c r="J61" s="27"/>
    </row>
    <row r="63" customFormat="false" ht="25.5" hidden="false" customHeight="true" outlineLevel="0" collapsed="false">
      <c r="A63" s="2" t="s">
        <v>124</v>
      </c>
      <c r="B63" s="2"/>
      <c r="C63" s="2"/>
      <c r="D63" s="2"/>
      <c r="E63" s="2"/>
      <c r="F63" s="2"/>
      <c r="G63" s="2"/>
      <c r="H63" s="2"/>
      <c r="I63" s="2"/>
      <c r="J63" s="2"/>
    </row>
    <row r="64" customFormat="false" ht="15" hidden="false" customHeight="true" outlineLevel="0" collapsed="false">
      <c r="A64" s="5" t="s">
        <v>125</v>
      </c>
      <c r="B64" s="5"/>
      <c r="C64" s="5"/>
      <c r="D64" s="5"/>
      <c r="E64" s="30"/>
      <c r="F64" s="19" t="n">
        <f aca="false">SUMPRODUCT((E4:E53="Grey")*F4:F53)</f>
        <v>3580</v>
      </c>
      <c r="G64" s="30"/>
      <c r="H64" s="31" t="n">
        <f aca="false">IF(SUM(F4:F53)&gt;0,F64/SUM(F4:F53)*100,0)</f>
        <v>60.3709949409781</v>
      </c>
      <c r="I64" s="30"/>
      <c r="J64" s="30"/>
    </row>
    <row r="65" customFormat="false" ht="15" hidden="false" customHeight="true" outlineLevel="0" collapsed="false">
      <c r="A65" s="9" t="s">
        <v>126</v>
      </c>
      <c r="B65" s="9"/>
      <c r="C65" s="9"/>
      <c r="D65" s="9"/>
      <c r="E65" s="32"/>
      <c r="F65" s="22" t="n">
        <f aca="false">SUMPRODUCT((E4:E53="Black")*F4:F53)</f>
        <v>1400</v>
      </c>
      <c r="G65" s="32"/>
      <c r="H65" s="33" t="n">
        <f aca="false">IF(SUM(F4:F53)&gt;0,F65/SUM(F4:F53)*100,0)</f>
        <v>23.6087689713322</v>
      </c>
      <c r="I65" s="32"/>
      <c r="J65" s="32"/>
    </row>
    <row r="66" customFormat="false" ht="15" hidden="false" customHeight="true" outlineLevel="0" collapsed="false">
      <c r="A66" s="5" t="s">
        <v>127</v>
      </c>
      <c r="B66" s="5"/>
      <c r="C66" s="5"/>
      <c r="D66" s="5"/>
      <c r="E66" s="30"/>
      <c r="F66" s="19" t="n">
        <f aca="false">SUMPRODUCT((E4:E53="RO")*F4:F53)</f>
        <v>800</v>
      </c>
      <c r="G66" s="30"/>
      <c r="H66" s="31" t="n">
        <f aca="false">IF(SUM(F4:F53)&gt;0,F66/SUM(F4:F53)*100,0)</f>
        <v>13.4907251264755</v>
      </c>
      <c r="I66" s="30"/>
      <c r="J66" s="30"/>
    </row>
    <row r="67" customFormat="false" ht="15" hidden="false" customHeight="true" outlineLevel="0" collapsed="false">
      <c r="A67" s="9" t="s">
        <v>128</v>
      </c>
      <c r="B67" s="9"/>
      <c r="C67" s="9"/>
      <c r="D67" s="9"/>
      <c r="E67" s="32"/>
      <c r="F67" s="22" t="n">
        <f aca="false">SUMPRODUCT((E4:E53="Lab")*F4:F53)</f>
        <v>150</v>
      </c>
      <c r="G67" s="32"/>
      <c r="H67" s="33" t="n">
        <f aca="false">IF(SUM(F4:F53)&gt;0,F67/SUM(F4:F53)*100,0)</f>
        <v>2.52951096121417</v>
      </c>
      <c r="I67" s="32"/>
      <c r="J67" s="32"/>
    </row>
    <row r="69" customFormat="false" ht="25.5" hidden="false" customHeight="true" outlineLevel="0" collapsed="false">
      <c r="A69" s="34" t="s">
        <v>129</v>
      </c>
      <c r="B69" s="34"/>
      <c r="C69" s="34"/>
      <c r="D69" s="34"/>
      <c r="E69" s="34"/>
      <c r="F69" s="34"/>
      <c r="G69" s="34"/>
      <c r="H69" s="34"/>
      <c r="I69" s="34"/>
      <c r="J69" s="34"/>
    </row>
    <row r="70" customFormat="false" ht="15" hidden="false" customHeight="true" outlineLevel="0" collapsed="false">
      <c r="A70" s="35" t="s">
        <v>130</v>
      </c>
      <c r="B70" s="35"/>
      <c r="C70" s="35"/>
      <c r="D70" s="35"/>
      <c r="E70" s="36"/>
      <c r="F70" s="37" t="n">
        <f aca="false">SUMPRODUCT((H4:H53="STP")*F4:F53)</f>
        <v>4880</v>
      </c>
      <c r="G70" s="36"/>
      <c r="H70" s="38" t="n">
        <f aca="false">IF(SUM(F4:F53)&gt;0,F70/SUM(F4:F53)*100,0)</f>
        <v>82.2934232715008</v>
      </c>
      <c r="I70" s="36"/>
      <c r="J70" s="36"/>
    </row>
    <row r="71" customFormat="false" ht="15" hidden="false" customHeight="true" outlineLevel="0" collapsed="false">
      <c r="A71" s="35" t="s">
        <v>131</v>
      </c>
      <c r="B71" s="35"/>
      <c r="C71" s="35"/>
      <c r="D71" s="35"/>
      <c r="E71" s="36"/>
      <c r="F71" s="37" t="n">
        <f aca="false">SUMPRODUCT((H4:H53="ETP")*F4:F53)</f>
        <v>950</v>
      </c>
      <c r="G71" s="36"/>
      <c r="H71" s="38" t="n">
        <f aca="false">IF(SUM(F4:F53)&gt;0,F71/SUM(F4:F53)*100,0)</f>
        <v>16.0202360876897</v>
      </c>
      <c r="I71" s="36"/>
      <c r="J71" s="36"/>
    </row>
    <row r="72" customFormat="false" ht="15" hidden="false" customHeight="true" outlineLevel="0" collapsed="false">
      <c r="A72" s="35" t="s">
        <v>132</v>
      </c>
      <c r="B72" s="35"/>
      <c r="C72" s="35"/>
      <c r="D72" s="35"/>
      <c r="E72" s="36"/>
      <c r="F72" s="37" t="n">
        <f aca="false">SUMPRODUCT((H4:H53="Recharge Pit")*F4:F53)</f>
        <v>100</v>
      </c>
      <c r="G72" s="36"/>
      <c r="H72" s="38" t="n">
        <f aca="false">IF(SUM(F4:F53)&gt;0,F72/SUM(F4:F53)*100,0)</f>
        <v>1.68634064080944</v>
      </c>
      <c r="I72" s="36"/>
      <c r="J72" s="36"/>
    </row>
    <row r="74" customFormat="false" ht="17.35" hidden="false" customHeight="true" outlineLevel="0" collapsed="false">
      <c r="A74" s="39" t="s">
        <v>133</v>
      </c>
      <c r="B74" s="39"/>
      <c r="C74" s="39"/>
      <c r="D74" s="39"/>
      <c r="E74" s="36"/>
      <c r="F74" s="40" t="n">
        <f aca="false">SUM(F4:F53)</f>
        <v>5930</v>
      </c>
      <c r="G74" s="36"/>
      <c r="H74" s="36"/>
      <c r="I74" s="36"/>
      <c r="J74" s="36"/>
    </row>
    <row r="75" customFormat="false" ht="15" hidden="false" customHeight="true" outlineLevel="0" collapsed="false">
      <c r="A75" s="41" t="s">
        <v>134</v>
      </c>
      <c r="B75" s="41"/>
      <c r="C75" s="41"/>
      <c r="D75" s="41"/>
      <c r="E75" s="27"/>
      <c r="F75" s="42" t="n">
        <f aca="false">F74/1000</f>
        <v>5.93</v>
      </c>
      <c r="G75" s="27"/>
      <c r="H75" s="27"/>
      <c r="I75" s="27"/>
      <c r="J75" s="27"/>
    </row>
  </sheetData>
  <mergeCells count="20">
    <mergeCell ref="A1:J1"/>
    <mergeCell ref="A2:J2"/>
    <mergeCell ref="A54:J54"/>
    <mergeCell ref="A56:D56"/>
    <mergeCell ref="A57:D57"/>
    <mergeCell ref="A58:D58"/>
    <mergeCell ref="A59:D59"/>
    <mergeCell ref="A60:D60"/>
    <mergeCell ref="A61:D61"/>
    <mergeCell ref="A63:J63"/>
    <mergeCell ref="A64:D64"/>
    <mergeCell ref="A65:D65"/>
    <mergeCell ref="A66:D66"/>
    <mergeCell ref="A67:D67"/>
    <mergeCell ref="A69:J69"/>
    <mergeCell ref="A70:D70"/>
    <mergeCell ref="A71:D71"/>
    <mergeCell ref="A72:D72"/>
    <mergeCell ref="A74:D74"/>
    <mergeCell ref="A75:D7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8" min="2" style="0" width="18"/>
    <col collapsed="false" customWidth="true" hidden="false" outlineLevel="0" max="9" min="9" style="0" width="22"/>
    <col collapsed="false" customWidth="true" hidden="false" outlineLevel="0" max="10" min="10" style="0" width="14"/>
  </cols>
  <sheetData>
    <row r="1" customFormat="false" ht="33.75" hidden="false" customHeight="true" outlineLevel="0" collapsed="false">
      <c r="A1" s="43" t="s">
        <v>135</v>
      </c>
      <c r="B1" s="43"/>
      <c r="C1" s="43"/>
      <c r="D1" s="43"/>
      <c r="E1" s="43"/>
      <c r="F1" s="43"/>
      <c r="G1" s="43"/>
      <c r="H1" s="43"/>
      <c r="I1" s="43"/>
      <c r="J1" s="43"/>
    </row>
    <row r="2" customFormat="false" ht="25.5" hidden="false" customHeight="true" outlineLevel="0" collapsed="false">
      <c r="A2" s="12" t="s">
        <v>136</v>
      </c>
      <c r="B2" s="12"/>
      <c r="C2" s="12"/>
      <c r="D2" s="12"/>
      <c r="E2" s="12"/>
      <c r="F2" s="12"/>
      <c r="G2" s="12"/>
      <c r="H2" s="12"/>
      <c r="I2" s="12"/>
      <c r="J2" s="12"/>
    </row>
    <row r="3" customFormat="false" ht="35.05" hidden="false" customHeight="false" outlineLevel="0" collapsed="false">
      <c r="A3" s="13" t="s">
        <v>137</v>
      </c>
      <c r="B3" s="13" t="s">
        <v>138</v>
      </c>
      <c r="C3" s="13" t="s">
        <v>139</v>
      </c>
      <c r="D3" s="13" t="s">
        <v>140</v>
      </c>
      <c r="E3" s="13" t="s">
        <v>141</v>
      </c>
      <c r="F3" s="13" t="s">
        <v>142</v>
      </c>
      <c r="G3" s="13" t="s">
        <v>143</v>
      </c>
      <c r="H3" s="13" t="s">
        <v>144</v>
      </c>
      <c r="I3" s="13" t="s">
        <v>145</v>
      </c>
      <c r="J3" s="13" t="s">
        <v>69</v>
      </c>
    </row>
    <row r="4" customFormat="false" ht="46.25" hidden="false" customHeight="false" outlineLevel="0" collapsed="false">
      <c r="A4" s="44" t="s">
        <v>146</v>
      </c>
      <c r="B4" s="4" t="s">
        <v>80</v>
      </c>
      <c r="C4" s="18" t="n">
        <v>100</v>
      </c>
      <c r="D4" s="19" t="n">
        <f aca="false">C4*1000</f>
        <v>100000</v>
      </c>
      <c r="E4" s="45" t="n">
        <f aca="false">SUMPRODUCT(('2. Sources Log'!H4:H53=B4)*('2. Sources Log'!F4:F53))</f>
        <v>4880</v>
      </c>
      <c r="F4" s="46" t="n">
        <f aca="false">MIN(D4,E4)</f>
        <v>4880</v>
      </c>
      <c r="G4" s="47"/>
      <c r="H4" s="18"/>
      <c r="I4" s="18"/>
      <c r="J4" s="17" t="s">
        <v>147</v>
      </c>
    </row>
    <row r="5" customFormat="false" ht="35.05" hidden="false" customHeight="false" outlineLevel="0" collapsed="false">
      <c r="A5" s="48" t="s">
        <v>148</v>
      </c>
      <c r="B5" s="8" t="s">
        <v>80</v>
      </c>
      <c r="C5" s="21" t="n">
        <v>50</v>
      </c>
      <c r="D5" s="22" t="n">
        <f aca="false">C5*1000</f>
        <v>50000</v>
      </c>
      <c r="E5" s="49" t="n">
        <f aca="false">SUMPRODUCT(('2. Sources Log'!H4:H53=B5)*('2. Sources Log'!F4:F53))</f>
        <v>4880</v>
      </c>
      <c r="F5" s="50" t="n">
        <f aca="false">MIN(D5,E5)</f>
        <v>4880</v>
      </c>
      <c r="G5" s="51"/>
      <c r="H5" s="21"/>
      <c r="I5" s="21"/>
      <c r="J5" s="20" t="s">
        <v>149</v>
      </c>
    </row>
    <row r="6" customFormat="false" ht="46.25" hidden="false" customHeight="false" outlineLevel="0" collapsed="false">
      <c r="A6" s="44" t="s">
        <v>150</v>
      </c>
      <c r="B6" s="4" t="s">
        <v>74</v>
      </c>
      <c r="C6" s="18" t="n">
        <v>50</v>
      </c>
      <c r="D6" s="19" t="n">
        <f aca="false">C6*1000</f>
        <v>50000</v>
      </c>
      <c r="E6" s="45" t="n">
        <f aca="false">SUMPRODUCT(('2. Sources Log'!H4:H53=B6)*('2. Sources Log'!F4:F53))</f>
        <v>950</v>
      </c>
      <c r="F6" s="46" t="n">
        <f aca="false">MIN(D6,E6)</f>
        <v>950</v>
      </c>
      <c r="G6" s="47"/>
      <c r="H6" s="18"/>
      <c r="I6" s="18"/>
      <c r="J6" s="17" t="s">
        <v>151</v>
      </c>
    </row>
    <row r="7" customFormat="false" ht="23.85" hidden="false" customHeight="false" outlineLevel="0" collapsed="false">
      <c r="A7" s="48" t="s">
        <v>152</v>
      </c>
      <c r="B7" s="8" t="s">
        <v>74</v>
      </c>
      <c r="C7" s="21" t="n">
        <v>20</v>
      </c>
      <c r="D7" s="22" t="n">
        <f aca="false">C7*1000</f>
        <v>20000</v>
      </c>
      <c r="E7" s="49" t="n">
        <f aca="false">SUMPRODUCT(('2. Sources Log'!H4:H53=B7)*('2. Sources Log'!F4:F53))</f>
        <v>950</v>
      </c>
      <c r="F7" s="50" t="n">
        <f aca="false">MIN(D7,E7)</f>
        <v>950</v>
      </c>
      <c r="G7" s="51"/>
      <c r="H7" s="21"/>
      <c r="I7" s="21"/>
      <c r="J7" s="20" t="s">
        <v>153</v>
      </c>
    </row>
    <row r="8" customFormat="false" ht="15" hidden="false" customHeight="false" outlineLevel="0" collapsed="false">
      <c r="A8" s="18"/>
      <c r="B8" s="18"/>
      <c r="C8" s="18"/>
      <c r="D8" s="19" t="n">
        <f aca="false">IF(C8&gt;0,C8*1000,0)</f>
        <v>0</v>
      </c>
      <c r="E8" s="19" t="n">
        <f aca="false">IF(B8&lt;&gt;"",SUMPRODUCT(('2. Sources Log'!H4:H53=B8)*('2. Sources Log'!F4:F53)),0)</f>
        <v>0</v>
      </c>
      <c r="F8" s="19" t="n">
        <f aca="false">IF(AND(D8&gt;0,E8&gt;0),MIN(D8,E8),0)</f>
        <v>0</v>
      </c>
      <c r="G8" s="18"/>
      <c r="H8" s="18"/>
      <c r="I8" s="18"/>
      <c r="J8" s="18"/>
    </row>
    <row r="9" customFormat="false" ht="15" hidden="false" customHeight="false" outlineLevel="0" collapsed="false">
      <c r="A9" s="21"/>
      <c r="B9" s="21"/>
      <c r="C9" s="21"/>
      <c r="D9" s="22" t="n">
        <f aca="false">IF(C9&gt;0,C9*1000,0)</f>
        <v>0</v>
      </c>
      <c r="E9" s="22" t="n">
        <f aca="false">IF(B9&lt;&gt;"",SUMPRODUCT(('2. Sources Log'!H4:H53=B9)*('2. Sources Log'!F4:F53)),0)</f>
        <v>0</v>
      </c>
      <c r="F9" s="22" t="n">
        <f aca="false">IF(AND(D9&gt;0,E9&gt;0),MIN(D9,E9),0)</f>
        <v>0</v>
      </c>
      <c r="G9" s="21"/>
      <c r="H9" s="21"/>
      <c r="I9" s="21"/>
      <c r="J9" s="21"/>
    </row>
    <row r="10" customFormat="false" ht="15" hidden="false" customHeight="false" outlineLevel="0" collapsed="false">
      <c r="A10" s="18"/>
      <c r="B10" s="18"/>
      <c r="C10" s="18"/>
      <c r="D10" s="19" t="n">
        <f aca="false">IF(C10&gt;0,C10*1000,0)</f>
        <v>0</v>
      </c>
      <c r="E10" s="19" t="n">
        <f aca="false">IF(B10&lt;&gt;"",SUMPRODUCT(('2. Sources Log'!H4:H53=B10)*('2. Sources Log'!F4:F53)),0)</f>
        <v>0</v>
      </c>
      <c r="F10" s="19" t="n">
        <f aca="false">IF(AND(D10&gt;0,E10&gt;0),MIN(D10,E10),0)</f>
        <v>0</v>
      </c>
      <c r="G10" s="18"/>
      <c r="H10" s="18"/>
      <c r="I10" s="18"/>
      <c r="J10" s="18"/>
    </row>
    <row r="11" customFormat="false" ht="15" hidden="false" customHeight="false" outlineLevel="0" collapsed="false">
      <c r="A11" s="21"/>
      <c r="B11" s="21"/>
      <c r="C11" s="21"/>
      <c r="D11" s="22" t="n">
        <f aca="false">IF(C11&gt;0,C11*1000,0)</f>
        <v>0</v>
      </c>
      <c r="E11" s="22" t="n">
        <f aca="false">IF(B11&lt;&gt;"",SUMPRODUCT(('2. Sources Log'!H4:H53=B11)*('2. Sources Log'!F4:F53)),0)</f>
        <v>0</v>
      </c>
      <c r="F11" s="22" t="n">
        <f aca="false">IF(AND(D11&gt;0,E11&gt;0),MIN(D11,E11),0)</f>
        <v>0</v>
      </c>
      <c r="G11" s="21"/>
      <c r="H11" s="21"/>
      <c r="I11" s="21"/>
      <c r="J11" s="21"/>
    </row>
    <row r="12" customFormat="false" ht="25.5" hidden="false" customHeight="true" outlineLevel="0" collapsed="false">
      <c r="A12" s="25" t="s">
        <v>154</v>
      </c>
      <c r="B12" s="25"/>
      <c r="C12" s="25"/>
      <c r="D12" s="25"/>
      <c r="E12" s="25"/>
      <c r="F12" s="25"/>
      <c r="G12" s="25"/>
      <c r="H12" s="25"/>
      <c r="I12" s="25"/>
      <c r="J12" s="25"/>
    </row>
    <row r="13" customFormat="false" ht="15" hidden="false" customHeight="true" outlineLevel="0" collapsed="false">
      <c r="A13" s="52" t="s">
        <v>155</v>
      </c>
      <c r="B13" s="52"/>
      <c r="C13" s="52"/>
      <c r="D13" s="37" t="n">
        <f aca="false">SUM(D4:D11)</f>
        <v>220000</v>
      </c>
      <c r="E13" s="37" t="n">
        <f aca="false">SUM(E4:E11)</f>
        <v>11660</v>
      </c>
      <c r="F13" s="53" t="n">
        <f aca="false">SUM(F4:F11)</f>
        <v>11660</v>
      </c>
      <c r="G13" s="54"/>
      <c r="H13" s="54"/>
      <c r="I13" s="54"/>
      <c r="J13" s="54"/>
    </row>
    <row r="14" customFormat="false" ht="15" hidden="false" customHeight="true" outlineLevel="0" collapsed="false">
      <c r="A14" s="15" t="s">
        <v>156</v>
      </c>
      <c r="B14" s="15"/>
      <c r="C14" s="15"/>
      <c r="D14" s="28" t="n">
        <f aca="false">SUM(C4:C11)</f>
        <v>220</v>
      </c>
      <c r="E14" s="27"/>
      <c r="F14" s="27"/>
      <c r="G14" s="27"/>
      <c r="H14" s="27"/>
      <c r="I14" s="27"/>
      <c r="J14" s="27"/>
    </row>
    <row r="15" customFormat="false" ht="15" hidden="false" customHeight="true" outlineLevel="0" collapsed="false">
      <c r="A15" s="15" t="s">
        <v>157</v>
      </c>
      <c r="B15" s="15"/>
      <c r="C15" s="15"/>
      <c r="D15" s="29" t="n">
        <f aca="false">E13/1000</f>
        <v>11.66</v>
      </c>
      <c r="E15" s="27"/>
      <c r="F15" s="27"/>
      <c r="G15" s="27"/>
      <c r="H15" s="27"/>
      <c r="I15" s="27"/>
      <c r="J15" s="27"/>
    </row>
    <row r="16" customFormat="false" ht="15" hidden="false" customHeight="true" outlineLevel="0" collapsed="false">
      <c r="A16" s="15" t="s">
        <v>158</v>
      </c>
      <c r="B16" s="15"/>
      <c r="C16" s="15"/>
      <c r="D16" s="29" t="n">
        <f aca="false">F13/1000</f>
        <v>11.66</v>
      </c>
      <c r="E16" s="27"/>
      <c r="F16" s="27"/>
      <c r="G16" s="27"/>
      <c r="H16" s="27"/>
      <c r="I16" s="27"/>
      <c r="J16" s="27"/>
    </row>
    <row r="17" customFormat="false" ht="15" hidden="false" customHeight="true" outlineLevel="0" collapsed="false">
      <c r="A17" s="15" t="s">
        <v>159</v>
      </c>
      <c r="B17" s="15"/>
      <c r="C17" s="15"/>
      <c r="D17" s="29" t="n">
        <f aca="false">IF(D13&gt;0,E13/D13*100,0)</f>
        <v>5.3</v>
      </c>
      <c r="E17" s="27"/>
      <c r="F17" s="27"/>
      <c r="G17" s="27"/>
      <c r="H17" s="27"/>
      <c r="I17" s="27"/>
      <c r="J17" s="27"/>
    </row>
    <row r="18" customFormat="false" ht="15" hidden="false" customHeight="true" outlineLevel="0" collapsed="false">
      <c r="A18" s="15" t="s">
        <v>160</v>
      </c>
      <c r="B18" s="15"/>
      <c r="C18" s="15"/>
      <c r="D18" s="28" t="n">
        <f aca="false">IF(E13&gt;D13,E13-D13,0)</f>
        <v>0</v>
      </c>
      <c r="E18" s="27"/>
      <c r="F18" s="27"/>
      <c r="G18" s="27"/>
      <c r="H18" s="27"/>
      <c r="I18" s="27"/>
      <c r="J18" s="27"/>
    </row>
  </sheetData>
  <mergeCells count="9">
    <mergeCell ref="A1:J1"/>
    <mergeCell ref="A2:J2"/>
    <mergeCell ref="A12:J12"/>
    <mergeCell ref="A13:C13"/>
    <mergeCell ref="A14:C14"/>
    <mergeCell ref="A15:C15"/>
    <mergeCell ref="A16:C16"/>
    <mergeCell ref="A17:C17"/>
    <mergeCell ref="A18:C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8F9D"/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4" min="3" style="0" width="22"/>
    <col collapsed="false" customWidth="true" hidden="false" outlineLevel="0" max="5" min="5" style="0" width="18"/>
    <col collapsed="false" customWidth="true" hidden="false" outlineLevel="0" max="7" min="6" style="0" width="22"/>
    <col collapsed="false" customWidth="true" hidden="false" outlineLevel="0" max="8" min="8" style="0" width="14"/>
  </cols>
  <sheetData>
    <row r="1" customFormat="false" ht="33.75" hidden="false" customHeight="true" outlineLevel="0" collapsed="false">
      <c r="A1" s="55" t="s">
        <v>161</v>
      </c>
      <c r="B1" s="55"/>
      <c r="C1" s="55"/>
      <c r="D1" s="55"/>
      <c r="E1" s="55"/>
      <c r="F1" s="55"/>
      <c r="G1" s="55"/>
      <c r="H1" s="55"/>
    </row>
    <row r="2" customFormat="false" ht="25.5" hidden="false" customHeight="true" outlineLevel="0" collapsed="false">
      <c r="A2" s="56" t="s">
        <v>162</v>
      </c>
      <c r="B2" s="56"/>
      <c r="C2" s="56"/>
      <c r="D2" s="56"/>
      <c r="E2" s="56"/>
      <c r="F2" s="56"/>
      <c r="G2" s="56"/>
      <c r="H2" s="56"/>
    </row>
    <row r="3" customFormat="false" ht="23.85" hidden="false" customHeight="false" outlineLevel="0" collapsed="false">
      <c r="A3" s="57" t="s">
        <v>61</v>
      </c>
      <c r="B3" s="57" t="s">
        <v>163</v>
      </c>
      <c r="C3" s="57" t="s">
        <v>63</v>
      </c>
      <c r="D3" s="57" t="s">
        <v>164</v>
      </c>
      <c r="E3" s="57" t="s">
        <v>165</v>
      </c>
      <c r="F3" s="57" t="s">
        <v>166</v>
      </c>
      <c r="G3" s="57" t="s">
        <v>167</v>
      </c>
      <c r="H3" s="57" t="s">
        <v>69</v>
      </c>
    </row>
    <row r="4" customFormat="false" ht="23.85" hidden="false" customHeight="false" outlineLevel="0" collapsed="false">
      <c r="A4" s="17" t="n">
        <v>1</v>
      </c>
      <c r="B4" s="5" t="s">
        <v>168</v>
      </c>
      <c r="C4" s="6" t="s">
        <v>169</v>
      </c>
      <c r="D4" s="4" t="s">
        <v>146</v>
      </c>
      <c r="E4" s="24"/>
      <c r="F4" s="17" t="s">
        <v>170</v>
      </c>
      <c r="G4" s="6" t="s">
        <v>171</v>
      </c>
      <c r="H4" s="6"/>
    </row>
    <row r="5" customFormat="false" ht="23.85" hidden="false" customHeight="false" outlineLevel="0" collapsed="false">
      <c r="A5" s="20" t="n">
        <v>2</v>
      </c>
      <c r="B5" s="9" t="s">
        <v>172</v>
      </c>
      <c r="C5" s="10" t="s">
        <v>173</v>
      </c>
      <c r="D5" s="8" t="s">
        <v>146</v>
      </c>
      <c r="E5" s="23"/>
      <c r="F5" s="20" t="s">
        <v>174</v>
      </c>
      <c r="G5" s="10" t="s">
        <v>175</v>
      </c>
      <c r="H5" s="10" t="s">
        <v>176</v>
      </c>
    </row>
    <row r="6" customFormat="false" ht="23.85" hidden="false" customHeight="false" outlineLevel="0" collapsed="false">
      <c r="A6" s="17" t="n">
        <v>3</v>
      </c>
      <c r="B6" s="5" t="s">
        <v>172</v>
      </c>
      <c r="C6" s="6" t="s">
        <v>177</v>
      </c>
      <c r="D6" s="4" t="s">
        <v>148</v>
      </c>
      <c r="E6" s="24"/>
      <c r="F6" s="17" t="s">
        <v>178</v>
      </c>
      <c r="G6" s="6"/>
      <c r="H6" s="6"/>
    </row>
    <row r="7" customFormat="false" ht="23.85" hidden="false" customHeight="false" outlineLevel="0" collapsed="false">
      <c r="A7" s="20" t="n">
        <v>4</v>
      </c>
      <c r="B7" s="9" t="s">
        <v>179</v>
      </c>
      <c r="C7" s="10" t="s">
        <v>180</v>
      </c>
      <c r="D7" s="8" t="s">
        <v>146</v>
      </c>
      <c r="E7" s="23"/>
      <c r="F7" s="20" t="s">
        <v>181</v>
      </c>
      <c r="G7" s="10" t="s">
        <v>182</v>
      </c>
      <c r="H7" s="10"/>
    </row>
    <row r="8" customFormat="false" ht="15" hidden="false" customHeight="false" outlineLevel="0" collapsed="false">
      <c r="A8" s="17" t="n">
        <v>5</v>
      </c>
      <c r="B8" s="5" t="s">
        <v>183</v>
      </c>
      <c r="C8" s="6" t="s">
        <v>184</v>
      </c>
      <c r="D8" s="4" t="s">
        <v>150</v>
      </c>
      <c r="E8" s="24"/>
      <c r="F8" s="17" t="s">
        <v>185</v>
      </c>
      <c r="G8" s="6" t="s">
        <v>186</v>
      </c>
      <c r="H8" s="6" t="s">
        <v>187</v>
      </c>
    </row>
    <row r="9" customFormat="false" ht="23.85" hidden="false" customHeight="false" outlineLevel="0" collapsed="false">
      <c r="A9" s="20" t="n">
        <v>6</v>
      </c>
      <c r="B9" s="9" t="s">
        <v>188</v>
      </c>
      <c r="C9" s="10" t="s">
        <v>189</v>
      </c>
      <c r="D9" s="8" t="s">
        <v>146</v>
      </c>
      <c r="E9" s="23"/>
      <c r="F9" s="20" t="s">
        <v>190</v>
      </c>
      <c r="G9" s="10" t="s">
        <v>191</v>
      </c>
      <c r="H9" s="10" t="s">
        <v>192</v>
      </c>
    </row>
    <row r="10" customFormat="false" ht="15" hidden="false" customHeight="false" outlineLevel="0" collapsed="false">
      <c r="A10" s="17" t="n">
        <v>7</v>
      </c>
      <c r="B10" s="5" t="s">
        <v>193</v>
      </c>
      <c r="C10" s="6" t="s">
        <v>194</v>
      </c>
      <c r="D10" s="4" t="s">
        <v>150</v>
      </c>
      <c r="E10" s="24"/>
      <c r="F10" s="17" t="s">
        <v>195</v>
      </c>
      <c r="G10" s="6" t="s">
        <v>191</v>
      </c>
      <c r="H10" s="6"/>
    </row>
    <row r="11" customFormat="false" ht="23.85" hidden="false" customHeight="false" outlineLevel="0" collapsed="false">
      <c r="A11" s="20" t="n">
        <v>8</v>
      </c>
      <c r="B11" s="9" t="s">
        <v>196</v>
      </c>
      <c r="C11" s="10" t="s">
        <v>197</v>
      </c>
      <c r="D11" s="8" t="s">
        <v>146</v>
      </c>
      <c r="E11" s="23"/>
      <c r="F11" s="20" t="s">
        <v>198</v>
      </c>
      <c r="G11" s="10"/>
      <c r="H11" s="10"/>
    </row>
    <row r="12" customFormat="false" ht="15" hidden="false" customHeight="false" outlineLevel="0" collapsed="false">
      <c r="A12" s="17" t="n">
        <v>9</v>
      </c>
      <c r="B12" s="18"/>
      <c r="C12" s="18"/>
      <c r="D12" s="18"/>
      <c r="E12" s="24"/>
      <c r="F12" s="18"/>
      <c r="G12" s="18"/>
      <c r="H12" s="18"/>
    </row>
    <row r="13" customFormat="false" ht="15" hidden="false" customHeight="false" outlineLevel="0" collapsed="false">
      <c r="A13" s="20" t="n">
        <v>10</v>
      </c>
      <c r="B13" s="21"/>
      <c r="C13" s="21"/>
      <c r="D13" s="21"/>
      <c r="E13" s="23"/>
      <c r="F13" s="21"/>
      <c r="G13" s="21"/>
      <c r="H13" s="21"/>
    </row>
    <row r="14" customFormat="false" ht="15" hidden="false" customHeight="false" outlineLevel="0" collapsed="false">
      <c r="A14" s="17" t="n">
        <v>11</v>
      </c>
      <c r="B14" s="18"/>
      <c r="C14" s="18"/>
      <c r="D14" s="18"/>
      <c r="E14" s="24"/>
      <c r="F14" s="18"/>
      <c r="G14" s="18"/>
      <c r="H14" s="18"/>
    </row>
    <row r="15" customFormat="false" ht="15" hidden="false" customHeight="false" outlineLevel="0" collapsed="false">
      <c r="A15" s="20" t="n">
        <v>12</v>
      </c>
      <c r="B15" s="21"/>
      <c r="C15" s="21"/>
      <c r="D15" s="21"/>
      <c r="E15" s="23"/>
      <c r="F15" s="21"/>
      <c r="G15" s="21"/>
      <c r="H15" s="21"/>
    </row>
    <row r="16" customFormat="false" ht="15" hidden="false" customHeight="false" outlineLevel="0" collapsed="false">
      <c r="A16" s="17" t="n">
        <v>13</v>
      </c>
      <c r="B16" s="18"/>
      <c r="C16" s="18"/>
      <c r="D16" s="18"/>
      <c r="E16" s="24"/>
      <c r="F16" s="18"/>
      <c r="G16" s="18"/>
      <c r="H16" s="18"/>
    </row>
    <row r="17" customFormat="false" ht="15" hidden="false" customHeight="false" outlineLevel="0" collapsed="false">
      <c r="A17" s="20" t="n">
        <v>14</v>
      </c>
      <c r="B17" s="21"/>
      <c r="C17" s="21"/>
      <c r="D17" s="21"/>
      <c r="E17" s="23"/>
      <c r="F17" s="21"/>
      <c r="G17" s="21"/>
      <c r="H17" s="21"/>
    </row>
    <row r="18" customFormat="false" ht="15" hidden="false" customHeight="false" outlineLevel="0" collapsed="false">
      <c r="A18" s="17" t="n">
        <v>15</v>
      </c>
      <c r="B18" s="18"/>
      <c r="C18" s="18"/>
      <c r="D18" s="18"/>
      <c r="E18" s="24"/>
      <c r="F18" s="18"/>
      <c r="G18" s="18"/>
      <c r="H18" s="18"/>
    </row>
    <row r="19" customFormat="false" ht="15" hidden="false" customHeight="false" outlineLevel="0" collapsed="false">
      <c r="A19" s="20" t="n">
        <v>16</v>
      </c>
      <c r="B19" s="21"/>
      <c r="C19" s="21"/>
      <c r="D19" s="21"/>
      <c r="E19" s="23"/>
      <c r="F19" s="21"/>
      <c r="G19" s="21"/>
      <c r="H19" s="21"/>
    </row>
    <row r="20" customFormat="false" ht="15" hidden="false" customHeight="false" outlineLevel="0" collapsed="false">
      <c r="A20" s="17" t="n">
        <v>17</v>
      </c>
      <c r="B20" s="18"/>
      <c r="C20" s="18"/>
      <c r="D20" s="18"/>
      <c r="E20" s="24"/>
      <c r="F20" s="18"/>
      <c r="G20" s="18"/>
      <c r="H20" s="18"/>
    </row>
    <row r="21" customFormat="false" ht="15" hidden="false" customHeight="false" outlineLevel="0" collapsed="false">
      <c r="A21" s="20" t="n">
        <v>18</v>
      </c>
      <c r="B21" s="21"/>
      <c r="C21" s="21"/>
      <c r="D21" s="21"/>
      <c r="E21" s="23"/>
      <c r="F21" s="21"/>
      <c r="G21" s="21"/>
      <c r="H21" s="21"/>
    </row>
    <row r="22" customFormat="false" ht="15" hidden="false" customHeight="false" outlineLevel="0" collapsed="false">
      <c r="A22" s="17" t="n">
        <v>19</v>
      </c>
      <c r="B22" s="18"/>
      <c r="C22" s="18"/>
      <c r="D22" s="18"/>
      <c r="E22" s="24"/>
      <c r="F22" s="18"/>
      <c r="G22" s="18"/>
      <c r="H22" s="18"/>
    </row>
    <row r="23" customFormat="false" ht="15" hidden="false" customHeight="false" outlineLevel="0" collapsed="false">
      <c r="A23" s="20" t="n">
        <v>20</v>
      </c>
      <c r="B23" s="21"/>
      <c r="C23" s="21"/>
      <c r="D23" s="21"/>
      <c r="E23" s="23"/>
      <c r="F23" s="21"/>
      <c r="G23" s="21"/>
      <c r="H23" s="21"/>
    </row>
    <row r="24" customFormat="false" ht="25.5" hidden="false" customHeight="true" outlineLevel="0" collapsed="false">
      <c r="A24" s="25" t="s">
        <v>199</v>
      </c>
      <c r="B24" s="25"/>
      <c r="C24" s="25"/>
      <c r="D24" s="25"/>
      <c r="E24" s="25"/>
      <c r="F24" s="25"/>
      <c r="G24" s="25"/>
      <c r="H24" s="25"/>
    </row>
    <row r="25" customFormat="false" ht="17.35" hidden="false" customHeight="true" outlineLevel="0" collapsed="false">
      <c r="A25" s="58" t="s">
        <v>200</v>
      </c>
      <c r="B25" s="58"/>
      <c r="C25" s="58"/>
      <c r="D25" s="58"/>
      <c r="E25" s="59" t="n">
        <f aca="false">SUM(E4:E23)</f>
        <v>0</v>
      </c>
      <c r="F25" s="36"/>
      <c r="G25" s="36"/>
      <c r="H25" s="36"/>
    </row>
    <row r="26" customFormat="false" ht="15" hidden="false" customHeight="true" outlineLevel="0" collapsed="false">
      <c r="A26" s="15" t="s">
        <v>201</v>
      </c>
      <c r="B26" s="15"/>
      <c r="C26" s="15"/>
      <c r="D26" s="15"/>
      <c r="E26" s="29" t="n">
        <f aca="false">E25/1000</f>
        <v>0</v>
      </c>
      <c r="F26" s="27"/>
      <c r="G26" s="27"/>
      <c r="H26" s="27"/>
    </row>
    <row r="27" customFormat="false" ht="15" hidden="false" customHeight="true" outlineLevel="0" collapsed="false">
      <c r="A27" s="15" t="s">
        <v>202</v>
      </c>
      <c r="B27" s="15"/>
      <c r="C27" s="15"/>
      <c r="D27" s="15"/>
      <c r="E27" s="28" t="n">
        <f aca="false">'3. Treatment Plan'!F13</f>
        <v>11660</v>
      </c>
      <c r="F27" s="27"/>
      <c r="G27" s="27"/>
      <c r="H27" s="27"/>
    </row>
    <row r="28" customFormat="false" ht="15" hidden="false" customHeight="true" outlineLevel="0" collapsed="false">
      <c r="A28" s="15" t="s">
        <v>203</v>
      </c>
      <c r="B28" s="15"/>
      <c r="C28" s="15"/>
      <c r="D28" s="15"/>
      <c r="E28" s="29" t="n">
        <f aca="false">IF(E27&gt;0,E25/E27*100,0)</f>
        <v>0</v>
      </c>
      <c r="F28" s="27"/>
      <c r="G28" s="27"/>
      <c r="H28" s="27"/>
    </row>
    <row r="29" customFormat="false" ht="15" hidden="false" customHeight="true" outlineLevel="0" collapsed="false">
      <c r="A29" s="15" t="s">
        <v>204</v>
      </c>
      <c r="B29" s="15"/>
      <c r="C29" s="15"/>
      <c r="D29" s="15"/>
      <c r="E29" s="28" t="n">
        <f aca="false">E27-E25</f>
        <v>11660</v>
      </c>
      <c r="F29" s="27"/>
      <c r="G29" s="27"/>
      <c r="H29" s="27"/>
    </row>
  </sheetData>
  <mergeCells count="8">
    <mergeCell ref="A1:H1"/>
    <mergeCell ref="A2:H2"/>
    <mergeCell ref="A24:H24"/>
    <mergeCell ref="A25:D25"/>
    <mergeCell ref="A26:D26"/>
    <mergeCell ref="A27:D27"/>
    <mergeCell ref="A28:D28"/>
    <mergeCell ref="A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2E4F"/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6" min="3" style="0" width="22"/>
    <col collapsed="false" customWidth="true" hidden="false" outlineLevel="0" max="7" min="7" style="0" width="14"/>
  </cols>
  <sheetData>
    <row r="1" customFormat="false" ht="33.75" hidden="false" customHeight="true" outlineLevel="0" collapsed="false">
      <c r="A1" s="60" t="s">
        <v>205</v>
      </c>
      <c r="B1" s="60"/>
      <c r="C1" s="60"/>
      <c r="D1" s="60"/>
      <c r="E1" s="60"/>
      <c r="F1" s="60"/>
      <c r="G1" s="60"/>
    </row>
    <row r="2" customFormat="false" ht="25.5" hidden="false" customHeight="true" outlineLevel="0" collapsed="false">
      <c r="A2" s="25" t="s">
        <v>206</v>
      </c>
      <c r="B2" s="25"/>
      <c r="C2" s="25"/>
      <c r="D2" s="25"/>
      <c r="E2" s="25"/>
      <c r="F2" s="25"/>
      <c r="G2" s="25"/>
    </row>
    <row r="3" customFormat="false" ht="15" hidden="false" customHeight="false" outlineLevel="0" collapsed="false">
      <c r="A3" s="26" t="s">
        <v>61</v>
      </c>
      <c r="B3" s="26" t="s">
        <v>207</v>
      </c>
      <c r="C3" s="26" t="s">
        <v>208</v>
      </c>
      <c r="D3" s="26" t="s">
        <v>209</v>
      </c>
      <c r="E3" s="26" t="s">
        <v>210</v>
      </c>
      <c r="F3" s="26" t="s">
        <v>211</v>
      </c>
      <c r="G3" s="26" t="s">
        <v>212</v>
      </c>
    </row>
    <row r="4" customFormat="false" ht="25.5" hidden="false" customHeight="true" outlineLevel="0" collapsed="false">
      <c r="A4" s="17" t="n">
        <v>1</v>
      </c>
      <c r="B4" s="5" t="s">
        <v>213</v>
      </c>
      <c r="C4" s="19" t="n">
        <f aca="false">'2. Sources Log'!F74</f>
        <v>5930</v>
      </c>
      <c r="D4" s="17" t="s">
        <v>214</v>
      </c>
      <c r="E4" s="6" t="s">
        <v>215</v>
      </c>
      <c r="F4" s="18"/>
      <c r="G4" s="18"/>
    </row>
    <row r="5" customFormat="false" ht="25.5" hidden="false" customHeight="true" outlineLevel="0" collapsed="false">
      <c r="A5" s="20" t="n">
        <v>2</v>
      </c>
      <c r="B5" s="9" t="s">
        <v>216</v>
      </c>
      <c r="C5" s="33" t="n">
        <f aca="false">'2. Sources Log'!F74/1000</f>
        <v>5.93</v>
      </c>
      <c r="D5" s="20" t="s">
        <v>217</v>
      </c>
      <c r="E5" s="10"/>
      <c r="F5" s="21"/>
      <c r="G5" s="21"/>
    </row>
    <row r="6" customFormat="false" ht="25.5" hidden="false" customHeight="true" outlineLevel="0" collapsed="false">
      <c r="A6" s="17" t="n">
        <v>3</v>
      </c>
      <c r="B6" s="5" t="s">
        <v>218</v>
      </c>
      <c r="C6" s="19" t="n">
        <f aca="false">'2. Sources Log'!F64</f>
        <v>3580</v>
      </c>
      <c r="D6" s="17" t="s">
        <v>214</v>
      </c>
      <c r="E6" s="6" t="s">
        <v>219</v>
      </c>
      <c r="F6" s="18"/>
      <c r="G6" s="18"/>
    </row>
    <row r="7" customFormat="false" ht="25.5" hidden="false" customHeight="true" outlineLevel="0" collapsed="false">
      <c r="A7" s="20" t="n">
        <v>4</v>
      </c>
      <c r="B7" s="9" t="s">
        <v>220</v>
      </c>
      <c r="C7" s="22" t="n">
        <f aca="false">'2. Sources Log'!F65</f>
        <v>1400</v>
      </c>
      <c r="D7" s="20" t="s">
        <v>214</v>
      </c>
      <c r="E7" s="10" t="s">
        <v>221</v>
      </c>
      <c r="F7" s="21"/>
      <c r="G7" s="21"/>
    </row>
    <row r="8" customFormat="false" ht="25.5" hidden="false" customHeight="true" outlineLevel="0" collapsed="false">
      <c r="A8" s="17" t="n">
        <v>5</v>
      </c>
      <c r="B8" s="5" t="s">
        <v>222</v>
      </c>
      <c r="C8" s="19" t="n">
        <f aca="false">'2. Sources Log'!F66</f>
        <v>800</v>
      </c>
      <c r="D8" s="17" t="s">
        <v>214</v>
      </c>
      <c r="E8" s="6" t="s">
        <v>223</v>
      </c>
      <c r="F8" s="18"/>
      <c r="G8" s="18"/>
    </row>
    <row r="9" customFormat="false" ht="25.5" hidden="false" customHeight="true" outlineLevel="0" collapsed="false">
      <c r="A9" s="20" t="n">
        <v>6</v>
      </c>
      <c r="B9" s="9" t="s">
        <v>224</v>
      </c>
      <c r="C9" s="22" t="n">
        <f aca="false">'2. Sources Log'!F67</f>
        <v>150</v>
      </c>
      <c r="D9" s="20" t="s">
        <v>214</v>
      </c>
      <c r="E9" s="10" t="s">
        <v>225</v>
      </c>
      <c r="F9" s="21"/>
      <c r="G9" s="21"/>
    </row>
    <row r="10" customFormat="false" ht="25.5" hidden="false" customHeight="true" outlineLevel="0" collapsed="false">
      <c r="A10" s="17" t="n">
        <v>7</v>
      </c>
      <c r="B10" s="5" t="s">
        <v>226</v>
      </c>
      <c r="C10" s="19" t="n">
        <f aca="false">'2. Sources Log'!F70</f>
        <v>4880</v>
      </c>
      <c r="D10" s="17" t="s">
        <v>214</v>
      </c>
      <c r="E10" s="6" t="s">
        <v>227</v>
      </c>
      <c r="F10" s="18"/>
      <c r="G10" s="18"/>
    </row>
    <row r="11" customFormat="false" ht="25.5" hidden="false" customHeight="true" outlineLevel="0" collapsed="false">
      <c r="A11" s="20" t="n">
        <v>8</v>
      </c>
      <c r="B11" s="9" t="s">
        <v>228</v>
      </c>
      <c r="C11" s="22" t="n">
        <f aca="false">'2. Sources Log'!F71</f>
        <v>950</v>
      </c>
      <c r="D11" s="20" t="s">
        <v>214</v>
      </c>
      <c r="E11" s="10" t="s">
        <v>229</v>
      </c>
      <c r="F11" s="21"/>
      <c r="G11" s="21"/>
    </row>
    <row r="12" customFormat="false" ht="25.5" hidden="false" customHeight="true" outlineLevel="0" collapsed="false">
      <c r="A12" s="17" t="n">
        <v>9</v>
      </c>
      <c r="B12" s="5" t="s">
        <v>230</v>
      </c>
      <c r="C12" s="19" t="n">
        <f aca="false">'3. Treatment Plan'!D13</f>
        <v>220000</v>
      </c>
      <c r="D12" s="17" t="s">
        <v>214</v>
      </c>
      <c r="E12" s="6" t="s">
        <v>231</v>
      </c>
      <c r="F12" s="18"/>
      <c r="G12" s="18"/>
    </row>
    <row r="13" customFormat="false" ht="25.5" hidden="false" customHeight="true" outlineLevel="0" collapsed="false">
      <c r="A13" s="20" t="n">
        <v>10</v>
      </c>
      <c r="B13" s="9" t="s">
        <v>232</v>
      </c>
      <c r="C13" s="22" t="n">
        <f aca="false">'3. Treatment Plan'!F13</f>
        <v>11660</v>
      </c>
      <c r="D13" s="20" t="s">
        <v>214</v>
      </c>
      <c r="E13" s="10" t="s">
        <v>231</v>
      </c>
      <c r="F13" s="21"/>
      <c r="G13" s="21"/>
    </row>
    <row r="14" customFormat="false" ht="25.5" hidden="false" customHeight="true" outlineLevel="0" collapsed="false">
      <c r="A14" s="17" t="n">
        <v>11</v>
      </c>
      <c r="B14" s="5" t="s">
        <v>159</v>
      </c>
      <c r="C14" s="31" t="n">
        <f aca="false">IF(C12&gt;0,C13/C12*100,0)</f>
        <v>5.3</v>
      </c>
      <c r="D14" s="17" t="s">
        <v>233</v>
      </c>
      <c r="E14" s="6" t="s">
        <v>234</v>
      </c>
      <c r="F14" s="18"/>
      <c r="G14" s="18"/>
    </row>
    <row r="15" customFormat="false" ht="25.5" hidden="false" customHeight="true" outlineLevel="0" collapsed="false">
      <c r="A15" s="20" t="n">
        <v>12</v>
      </c>
      <c r="B15" s="9" t="s">
        <v>235</v>
      </c>
      <c r="C15" s="22" t="n">
        <f aca="false">'4. Reuse Plan'!E25</f>
        <v>0</v>
      </c>
      <c r="D15" s="20" t="s">
        <v>214</v>
      </c>
      <c r="E15" s="10" t="s">
        <v>236</v>
      </c>
      <c r="F15" s="21"/>
      <c r="G15" s="21"/>
    </row>
    <row r="16" customFormat="false" ht="25.5" hidden="false" customHeight="true" outlineLevel="0" collapsed="false">
      <c r="A16" s="61" t="n">
        <v>13</v>
      </c>
      <c r="B16" s="62" t="s">
        <v>237</v>
      </c>
      <c r="C16" s="63" t="n">
        <f aca="false">IF(C4&gt;0,C15/C4*100,0)</f>
        <v>0</v>
      </c>
      <c r="D16" s="61" t="s">
        <v>233</v>
      </c>
      <c r="E16" s="64" t="s">
        <v>238</v>
      </c>
      <c r="F16" s="65"/>
      <c r="G16" s="65"/>
    </row>
    <row r="17" customFormat="false" ht="25.5" hidden="false" customHeight="true" outlineLevel="0" collapsed="false">
      <c r="A17" s="61" t="n">
        <v>14</v>
      </c>
      <c r="B17" s="62" t="s">
        <v>239</v>
      </c>
      <c r="C17" s="63" t="n">
        <f aca="false">IF(C13&gt;0,C15/C13*100,0)</f>
        <v>0</v>
      </c>
      <c r="D17" s="61" t="s">
        <v>233</v>
      </c>
      <c r="E17" s="64" t="s">
        <v>240</v>
      </c>
      <c r="F17" s="65"/>
      <c r="G17" s="65"/>
    </row>
    <row r="18" customFormat="false" ht="25.5" hidden="false" customHeight="true" outlineLevel="0" collapsed="false">
      <c r="A18" s="17" t="n">
        <v>15</v>
      </c>
      <c r="B18" s="5" t="s">
        <v>241</v>
      </c>
      <c r="C18" s="19" t="n">
        <f aca="false">IF(C4&gt;C13,C4-C13,0)</f>
        <v>0</v>
      </c>
      <c r="D18" s="17" t="s">
        <v>214</v>
      </c>
      <c r="E18" s="6" t="s">
        <v>242</v>
      </c>
      <c r="F18" s="18"/>
      <c r="G18" s="18"/>
    </row>
    <row r="19" customFormat="false" ht="25.5" hidden="false" customHeight="true" outlineLevel="0" collapsed="false">
      <c r="A19" s="20" t="n">
        <v>16</v>
      </c>
      <c r="B19" s="9" t="s">
        <v>243</v>
      </c>
      <c r="C19" s="22" t="n">
        <f aca="false">IF(C13&gt;C15,C13-C15,0)</f>
        <v>11660</v>
      </c>
      <c r="D19" s="20" t="s">
        <v>214</v>
      </c>
      <c r="E19" s="10" t="s">
        <v>244</v>
      </c>
      <c r="F19" s="21"/>
      <c r="G19" s="21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65C0"/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8" min="4" style="0" width="14"/>
    <col collapsed="false" customWidth="true" hidden="false" outlineLevel="0" max="10" min="9" style="0" width="18"/>
    <col collapsed="false" customWidth="true" hidden="false" outlineLevel="0" max="11" min="11" style="0" width="14"/>
  </cols>
  <sheetData>
    <row r="1" customFormat="false" ht="33.75" hidden="false" customHeight="true" outlineLevel="0" collapsed="false">
      <c r="A1" s="66" t="s">
        <v>245</v>
      </c>
      <c r="B1" s="66"/>
      <c r="C1" s="66"/>
      <c r="D1" s="66"/>
      <c r="E1" s="66"/>
      <c r="F1" s="66"/>
      <c r="G1" s="66"/>
      <c r="H1" s="66"/>
      <c r="I1" s="66"/>
      <c r="J1" s="66"/>
      <c r="K1" s="66"/>
    </row>
    <row r="2" customFormat="false" ht="25.5" hidden="false" customHeight="true" outlineLevel="0" collapsed="false">
      <c r="A2" s="34" t="s">
        <v>246</v>
      </c>
      <c r="B2" s="34"/>
      <c r="C2" s="34"/>
      <c r="D2" s="34"/>
      <c r="E2" s="34"/>
      <c r="F2" s="34"/>
      <c r="G2" s="34"/>
      <c r="H2" s="34"/>
      <c r="I2" s="34"/>
      <c r="J2" s="34"/>
      <c r="K2" s="34"/>
    </row>
    <row r="3" customFormat="false" ht="15" hidden="false" customHeight="false" outlineLevel="0" collapsed="false">
      <c r="A3" s="67" t="s">
        <v>61</v>
      </c>
      <c r="B3" s="67" t="s">
        <v>247</v>
      </c>
      <c r="C3" s="67" t="s">
        <v>209</v>
      </c>
      <c r="D3" s="67" t="s">
        <v>248</v>
      </c>
      <c r="E3" s="67" t="s">
        <v>249</v>
      </c>
      <c r="F3" s="67" t="s">
        <v>250</v>
      </c>
      <c r="G3" s="67" t="s">
        <v>251</v>
      </c>
      <c r="H3" s="67" t="s">
        <v>252</v>
      </c>
      <c r="I3" s="67" t="s">
        <v>253</v>
      </c>
      <c r="J3" s="67" t="s">
        <v>254</v>
      </c>
      <c r="K3" s="67" t="s">
        <v>255</v>
      </c>
    </row>
    <row r="4" customFormat="false" ht="15" hidden="false" customHeight="false" outlineLevel="0" collapsed="false">
      <c r="A4" s="17" t="n">
        <v>1</v>
      </c>
      <c r="B4" s="44" t="s">
        <v>256</v>
      </c>
      <c r="C4" s="18"/>
      <c r="D4" s="18"/>
      <c r="E4" s="18"/>
      <c r="F4" s="18"/>
      <c r="G4" s="18"/>
      <c r="H4" s="18"/>
      <c r="I4" s="4" t="n">
        <f aca="false">IF(AND(D4&gt;0,H4&gt;0),H4-D4,0)</f>
        <v>0</v>
      </c>
      <c r="J4" s="68" t="n">
        <f aca="false">IFERROR(IF(D4&gt;0,(H4-D4)/D4*100,0),0)</f>
        <v>0</v>
      </c>
      <c r="K4" s="4" t="str">
        <f aca="false">IF(I4&gt;0,"Improving",IF(I4=0,"Stable","Declining"))</f>
        <v>Stable</v>
      </c>
    </row>
    <row r="5" customFormat="false" ht="15" hidden="false" customHeight="false" outlineLevel="0" collapsed="false">
      <c r="A5" s="20" t="n">
        <v>2</v>
      </c>
      <c r="B5" s="48" t="s">
        <v>158</v>
      </c>
      <c r="C5" s="21"/>
      <c r="D5" s="21"/>
      <c r="E5" s="21"/>
      <c r="F5" s="21"/>
      <c r="G5" s="21"/>
      <c r="H5" s="21"/>
      <c r="I5" s="8" t="n">
        <f aca="false">IF(AND(D5&gt;0,H5&gt;0),H5-D5,0)</f>
        <v>0</v>
      </c>
      <c r="J5" s="69" t="n">
        <f aca="false">IFERROR(IF(D5&gt;0,(H5-D5)/D5*100,0),0)</f>
        <v>0</v>
      </c>
      <c r="K5" s="8" t="str">
        <f aca="false">IF(I5&gt;0,"Improving",IF(I5=0,"Stable","Declining"))</f>
        <v>Stable</v>
      </c>
    </row>
    <row r="6" customFormat="false" ht="15" hidden="false" customHeight="false" outlineLevel="0" collapsed="false">
      <c r="A6" s="17" t="n">
        <v>3</v>
      </c>
      <c r="B6" s="44" t="s">
        <v>257</v>
      </c>
      <c r="C6" s="18"/>
      <c r="D6" s="18"/>
      <c r="E6" s="18"/>
      <c r="F6" s="18"/>
      <c r="G6" s="18"/>
      <c r="H6" s="18"/>
      <c r="I6" s="4" t="n">
        <f aca="false">IF(AND(D6&gt;0,H6&gt;0),H6-D6,0)</f>
        <v>0</v>
      </c>
      <c r="J6" s="68" t="n">
        <f aca="false">IFERROR(IF(D6&gt;0,(H6-D6)/D6*100,0),0)</f>
        <v>0</v>
      </c>
      <c r="K6" s="4" t="str">
        <f aca="false">IF(I6&gt;0,"Improving",IF(I6=0,"Stable","Declining"))</f>
        <v>Stable</v>
      </c>
    </row>
    <row r="7" customFormat="false" ht="15" hidden="false" customHeight="false" outlineLevel="0" collapsed="false">
      <c r="A7" s="20" t="n">
        <v>4</v>
      </c>
      <c r="B7" s="48" t="s">
        <v>258</v>
      </c>
      <c r="C7" s="21"/>
      <c r="D7" s="21"/>
      <c r="E7" s="21"/>
      <c r="F7" s="21"/>
      <c r="G7" s="21"/>
      <c r="H7" s="21"/>
      <c r="I7" s="8" t="n">
        <f aca="false">IF(AND(D7&gt;0,H7&gt;0),H7-D7,0)</f>
        <v>0</v>
      </c>
      <c r="J7" s="69" t="n">
        <f aca="false">IFERROR(IF(D7&gt;0,(H7-D7)/D7*100,0),0)</f>
        <v>0</v>
      </c>
      <c r="K7" s="8" t="str">
        <f aca="false">IF(I7&gt;0,"Improving",IF(I7=0,"Stable","Declining"))</f>
        <v>Stable</v>
      </c>
    </row>
    <row r="8" customFormat="false" ht="15" hidden="false" customHeight="false" outlineLevel="0" collapsed="false">
      <c r="A8" s="17" t="n">
        <v>5</v>
      </c>
      <c r="B8" s="44" t="s">
        <v>259</v>
      </c>
      <c r="C8" s="18"/>
      <c r="D8" s="18"/>
      <c r="E8" s="18"/>
      <c r="F8" s="18"/>
      <c r="G8" s="18"/>
      <c r="H8" s="18"/>
      <c r="I8" s="4" t="n">
        <f aca="false">IF(AND(D8&gt;0,H8&gt;0),H8-D8,0)</f>
        <v>0</v>
      </c>
      <c r="J8" s="68" t="n">
        <f aca="false">IFERROR(IF(D8&gt;0,(H8-D8)/D8*100,0),0)</f>
        <v>0</v>
      </c>
      <c r="K8" s="4" t="str">
        <f aca="false">IF(I8&gt;0,"Improving",IF(I8=0,"Stable","Declining"))</f>
        <v>Stable</v>
      </c>
    </row>
    <row r="9" customFormat="false" ht="15" hidden="false" customHeight="false" outlineLevel="0" collapsed="false">
      <c r="A9" s="20" t="n">
        <v>6</v>
      </c>
      <c r="B9" s="48" t="s">
        <v>260</v>
      </c>
      <c r="C9" s="21"/>
      <c r="D9" s="21"/>
      <c r="E9" s="21"/>
      <c r="F9" s="21"/>
      <c r="G9" s="21"/>
      <c r="H9" s="21"/>
      <c r="I9" s="8" t="n">
        <f aca="false">IF(AND(D9&gt;0,H9&gt;0),H9-D9,0)</f>
        <v>0</v>
      </c>
      <c r="J9" s="69" t="n">
        <f aca="false">IFERROR(IF(D9&gt;0,(H9-D9)/D9*100,0),0)</f>
        <v>0</v>
      </c>
      <c r="K9" s="8" t="str">
        <f aca="false">IF(I9&gt;0,"Improving",IF(I9=0,"Stable","Declining"))</f>
        <v>Stable</v>
      </c>
    </row>
    <row r="10" customFormat="false" ht="15" hidden="false" customHeight="false" outlineLevel="0" collapsed="false">
      <c r="A10" s="17" t="n">
        <v>7</v>
      </c>
      <c r="B10" s="44" t="s">
        <v>159</v>
      </c>
      <c r="C10" s="18"/>
      <c r="D10" s="18"/>
      <c r="E10" s="18"/>
      <c r="F10" s="18"/>
      <c r="G10" s="18"/>
      <c r="H10" s="18"/>
      <c r="I10" s="4" t="n">
        <f aca="false">IF(AND(D10&gt;0,H10&gt;0),H10-D10,0)</f>
        <v>0</v>
      </c>
      <c r="J10" s="68" t="n">
        <f aca="false">IFERROR(IF(D10&gt;0,(H10-D10)/D10*100,0),0)</f>
        <v>0</v>
      </c>
      <c r="K10" s="4" t="str">
        <f aca="false">IF(I10&gt;0,"Improving",IF(I10=0,"Stable","Declining"))</f>
        <v>Stable</v>
      </c>
    </row>
    <row r="11" customFormat="false" ht="15" hidden="false" customHeight="false" outlineLevel="0" collapsed="false">
      <c r="A11" s="20" t="n">
        <v>8</v>
      </c>
      <c r="B11" s="48" t="s">
        <v>261</v>
      </c>
      <c r="C11" s="21"/>
      <c r="D11" s="21"/>
      <c r="E11" s="21"/>
      <c r="F11" s="21"/>
      <c r="G11" s="21"/>
      <c r="H11" s="21"/>
      <c r="I11" s="8" t="n">
        <f aca="false">IF(AND(D11&gt;0,H11&gt;0),H11-D11,0)</f>
        <v>0</v>
      </c>
      <c r="J11" s="69" t="n">
        <f aca="false">IFERROR(IF(D11&gt;0,(H11-D11)/D11*100,0),0)</f>
        <v>0</v>
      </c>
      <c r="K11" s="8" t="str">
        <f aca="false">IF(I11&gt;0,"Improving",IF(I11=0,"Stable","Declining"))</f>
        <v>Stable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0000"/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42"/>
    <col collapsed="false" customWidth="true" hidden="false" outlineLevel="0" max="5" min="4" style="0" width="16"/>
    <col collapsed="false" customWidth="true" hidden="false" outlineLevel="0" max="6" min="6" style="0" width="22"/>
  </cols>
  <sheetData>
    <row r="1" customFormat="false" ht="33.75" hidden="false" customHeight="true" outlineLevel="0" collapsed="false">
      <c r="A1" s="70" t="s">
        <v>262</v>
      </c>
      <c r="B1" s="70"/>
      <c r="C1" s="70"/>
      <c r="D1" s="70"/>
      <c r="E1" s="70"/>
      <c r="F1" s="70"/>
    </row>
    <row r="2" customFormat="false" ht="25.5" hidden="false" customHeight="true" outlineLevel="0" collapsed="false">
      <c r="A2" s="71" t="s">
        <v>263</v>
      </c>
      <c r="B2" s="71"/>
      <c r="C2" s="71"/>
      <c r="D2" s="71"/>
      <c r="E2" s="71"/>
      <c r="F2" s="71"/>
    </row>
    <row r="3" customFormat="false" ht="15" hidden="false" customHeight="false" outlineLevel="0" collapsed="false">
      <c r="A3" s="72" t="s">
        <v>2</v>
      </c>
      <c r="B3" s="72" t="s">
        <v>264</v>
      </c>
      <c r="C3" s="72" t="s">
        <v>265</v>
      </c>
      <c r="D3" s="72" t="s">
        <v>266</v>
      </c>
      <c r="E3" s="72" t="s">
        <v>267</v>
      </c>
      <c r="F3" s="72" t="s">
        <v>268</v>
      </c>
    </row>
    <row r="4" customFormat="false" ht="31.5" hidden="false" customHeight="true" outlineLevel="0" collapsed="false">
      <c r="A4" s="73" t="n">
        <v>1</v>
      </c>
      <c r="B4" s="74" t="s">
        <v>269</v>
      </c>
      <c r="C4" s="75" t="s">
        <v>270</v>
      </c>
      <c r="D4" s="76"/>
      <c r="E4" s="76"/>
      <c r="F4" s="76"/>
    </row>
    <row r="5" customFormat="false" ht="31.5" hidden="false" customHeight="true" outlineLevel="0" collapsed="false">
      <c r="A5" s="20" t="n">
        <v>2</v>
      </c>
      <c r="B5" s="9" t="s">
        <v>271</v>
      </c>
      <c r="C5" s="10" t="s">
        <v>272</v>
      </c>
      <c r="D5" s="21"/>
      <c r="E5" s="21"/>
      <c r="F5" s="21"/>
    </row>
    <row r="6" customFormat="false" ht="31.5" hidden="false" customHeight="true" outlineLevel="0" collapsed="false">
      <c r="A6" s="73" t="n">
        <v>3</v>
      </c>
      <c r="B6" s="74" t="s">
        <v>273</v>
      </c>
      <c r="C6" s="75" t="s">
        <v>274</v>
      </c>
      <c r="D6" s="76"/>
      <c r="E6" s="76"/>
      <c r="F6" s="76"/>
    </row>
    <row r="7" customFormat="false" ht="31.5" hidden="false" customHeight="true" outlineLevel="0" collapsed="false">
      <c r="A7" s="20" t="n">
        <v>4</v>
      </c>
      <c r="B7" s="9" t="s">
        <v>275</v>
      </c>
      <c r="C7" s="10" t="s">
        <v>276</v>
      </c>
      <c r="D7" s="21"/>
      <c r="E7" s="21"/>
      <c r="F7" s="21"/>
    </row>
    <row r="8" customFormat="false" ht="31.5" hidden="false" customHeight="true" outlineLevel="0" collapsed="false">
      <c r="A8" s="73" t="n">
        <v>5</v>
      </c>
      <c r="B8" s="74" t="s">
        <v>277</v>
      </c>
      <c r="C8" s="75" t="s">
        <v>278</v>
      </c>
      <c r="D8" s="76"/>
      <c r="E8" s="76"/>
      <c r="F8" s="76"/>
    </row>
    <row r="9" customFormat="false" ht="31.5" hidden="false" customHeight="true" outlineLevel="0" collapsed="false">
      <c r="A9" s="20" t="n">
        <v>6</v>
      </c>
      <c r="B9" s="9" t="s">
        <v>279</v>
      </c>
      <c r="C9" s="10" t="s">
        <v>280</v>
      </c>
      <c r="D9" s="21"/>
      <c r="E9" s="21"/>
      <c r="F9" s="21"/>
    </row>
    <row r="10" customFormat="false" ht="31.5" hidden="false" customHeight="true" outlineLevel="0" collapsed="false">
      <c r="A10" s="73" t="n">
        <v>7</v>
      </c>
      <c r="B10" s="74" t="s">
        <v>281</v>
      </c>
      <c r="C10" s="75" t="s">
        <v>282</v>
      </c>
      <c r="D10" s="76"/>
      <c r="E10" s="76"/>
      <c r="F10" s="76"/>
    </row>
    <row r="11" customFormat="false" ht="31.5" hidden="false" customHeight="true" outlineLevel="0" collapsed="false">
      <c r="A11" s="20" t="n">
        <v>8</v>
      </c>
      <c r="B11" s="9" t="s">
        <v>283</v>
      </c>
      <c r="C11" s="10" t="s">
        <v>284</v>
      </c>
      <c r="D11" s="21"/>
      <c r="E11" s="21"/>
      <c r="F11" s="21"/>
    </row>
    <row r="12" customFormat="false" ht="31.5" hidden="false" customHeight="true" outlineLevel="0" collapsed="false">
      <c r="A12" s="73" t="n">
        <v>9</v>
      </c>
      <c r="B12" s="74" t="s">
        <v>285</v>
      </c>
      <c r="C12" s="75" t="s">
        <v>286</v>
      </c>
      <c r="D12" s="76"/>
      <c r="E12" s="76"/>
      <c r="F12" s="76"/>
    </row>
    <row r="13" customFormat="false" ht="31.5" hidden="false" customHeight="true" outlineLevel="0" collapsed="false">
      <c r="A13" s="20" t="n">
        <v>10</v>
      </c>
      <c r="B13" s="9" t="s">
        <v>287</v>
      </c>
      <c r="C13" s="10" t="s">
        <v>288</v>
      </c>
      <c r="D13" s="21"/>
      <c r="E13" s="21"/>
      <c r="F13" s="21"/>
    </row>
    <row r="14" customFormat="false" ht="31.5" hidden="false" customHeight="true" outlineLevel="0" collapsed="false">
      <c r="A14" s="73" t="n">
        <v>11</v>
      </c>
      <c r="B14" s="74" t="s">
        <v>289</v>
      </c>
      <c r="C14" s="75" t="s">
        <v>290</v>
      </c>
      <c r="D14" s="76"/>
      <c r="E14" s="76"/>
      <c r="F14" s="76"/>
    </row>
    <row r="15" customFormat="false" ht="31.5" hidden="false" customHeight="true" outlineLevel="0" collapsed="false">
      <c r="A15" s="20" t="n">
        <v>12</v>
      </c>
      <c r="B15" s="9" t="s">
        <v>291</v>
      </c>
      <c r="C15" s="10" t="s">
        <v>292</v>
      </c>
      <c r="D15" s="21"/>
      <c r="E15" s="21"/>
      <c r="F15" s="21"/>
    </row>
    <row r="16" customFormat="false" ht="31.5" hidden="false" customHeight="true" outlineLevel="0" collapsed="false">
      <c r="A16" s="73" t="n">
        <v>13</v>
      </c>
      <c r="B16" s="74" t="s">
        <v>293</v>
      </c>
      <c r="C16" s="75" t="s">
        <v>294</v>
      </c>
      <c r="D16" s="76"/>
      <c r="E16" s="76"/>
      <c r="F16" s="76"/>
    </row>
    <row r="17" customFormat="false" ht="31.5" hidden="false" customHeight="true" outlineLevel="0" collapsed="false">
      <c r="A17" s="20" t="n">
        <v>14</v>
      </c>
      <c r="B17" s="9" t="s">
        <v>295</v>
      </c>
      <c r="C17" s="10" t="s">
        <v>296</v>
      </c>
      <c r="D17" s="21"/>
      <c r="E17" s="21"/>
      <c r="F17" s="21"/>
    </row>
    <row r="18" customFormat="false" ht="31.5" hidden="false" customHeight="true" outlineLevel="0" collapsed="false">
      <c r="A18" s="73" t="n">
        <v>15</v>
      </c>
      <c r="B18" s="74" t="s">
        <v>297</v>
      </c>
      <c r="C18" s="75" t="s">
        <v>298</v>
      </c>
      <c r="D18" s="76"/>
      <c r="E18" s="76"/>
      <c r="F18" s="76"/>
    </row>
    <row r="19" customFormat="false" ht="31.5" hidden="false" customHeight="true" outlineLevel="0" collapsed="false">
      <c r="A19" s="20" t="n">
        <v>16</v>
      </c>
      <c r="B19" s="9" t="s">
        <v>299</v>
      </c>
      <c r="C19" s="10" t="s">
        <v>300</v>
      </c>
      <c r="D19" s="21"/>
      <c r="E19" s="21"/>
      <c r="F19" s="21"/>
    </row>
    <row r="20" customFormat="false" ht="31.5" hidden="false" customHeight="true" outlineLevel="0" collapsed="false">
      <c r="A20" s="73" t="n">
        <v>17</v>
      </c>
      <c r="B20" s="74" t="s">
        <v>301</v>
      </c>
      <c r="C20" s="75" t="s">
        <v>302</v>
      </c>
      <c r="D20" s="76"/>
      <c r="E20" s="76"/>
      <c r="F20" s="76"/>
    </row>
    <row r="21" customFormat="false" ht="31.5" hidden="false" customHeight="true" outlineLevel="0" collapsed="false">
      <c r="A21" s="20" t="n">
        <v>18</v>
      </c>
      <c r="B21" s="9" t="s">
        <v>303</v>
      </c>
      <c r="C21" s="10" t="s">
        <v>304</v>
      </c>
      <c r="D21" s="21"/>
      <c r="E21" s="21"/>
      <c r="F21" s="21"/>
    </row>
    <row r="22" customFormat="false" ht="31.5" hidden="false" customHeight="true" outlineLevel="0" collapsed="false">
      <c r="A22" s="73" t="n">
        <v>19</v>
      </c>
      <c r="B22" s="74" t="s">
        <v>305</v>
      </c>
      <c r="C22" s="75" t="s">
        <v>306</v>
      </c>
      <c r="D22" s="76"/>
      <c r="E22" s="76"/>
      <c r="F22" s="76"/>
    </row>
    <row r="23" customFormat="false" ht="31.5" hidden="false" customHeight="true" outlineLevel="0" collapsed="false">
      <c r="A23" s="20" t="n">
        <v>20</v>
      </c>
      <c r="B23" s="9" t="s">
        <v>307</v>
      </c>
      <c r="C23" s="10" t="s">
        <v>308</v>
      </c>
      <c r="D23" s="21"/>
      <c r="E23" s="21"/>
      <c r="F23" s="21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2026-06-01T09:39:39Z</dcterms:created>
  <dc:creator>openpyxl</dc:creator>
  <dc:description/>
  <dc:language>en-US</dc:language>
  <cp:lastModifiedBy/>
  <dcterms:modified xsi:type="dcterms:W3CDTF">2026-06-01T09:39:39Z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