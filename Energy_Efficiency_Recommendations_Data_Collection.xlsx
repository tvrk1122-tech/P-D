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aster Dashboard" sheetId="1" state="visible" r:id="rId3"/>
    <sheet name="2. Category Analysis" sheetId="2" state="visible" r:id="rId4"/>
    <sheet name="3. Department Tracker" sheetId="3" state="visible" r:id="rId5"/>
    <sheet name="4. Implementation Plan" sheetId="4" state="visible" r:id="rId6"/>
    <sheet name="5. Technical Details" sheetId="5" state="visible" r:id="rId7"/>
    <sheet name="6. Before vs After" sheetId="6" state="visible" r:id="rId8"/>
    <sheet name="7. Carbon Impact" sheetId="7" state="visible" r:id="rId9"/>
    <sheet name="8. Data Quality Audi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<sst xmlns="http://schemas.openxmlformats.org/spreadsheetml/2006/main" count="380" uniqueCount="264">
  <si>
    <t xml:space="preserve">RECOMMENDATIONS FOR BETTER ENERGY EFFICIENCY — MASTER DASHBOARD</t>
  </si>
  <si>
    <t xml:space="preserve">All 16 Recommendations | Auto-Calculated Savings, ROI, Payback, CO₂ Reduction | A.Y. 2026–27</t>
  </si>
  <si>
    <t xml:space="preserve">Sl.</t>
  </si>
  <si>
    <t xml:space="preserve">Recommendation</t>
  </si>
  <si>
    <t xml:space="preserve">Category</t>
  </si>
  <si>
    <t xml:space="preserve">Est. Savings (kWh/yr)</t>
  </si>
  <si>
    <t xml:space="preserve">Est. Cost (₹)</t>
  </si>
  <si>
    <t xml:space="preserve">Tariff (₹/kWh)</t>
  </si>
  <si>
    <t xml:space="preserve">Annual Monetary Savings (₹)</t>
  </si>
  <si>
    <t xml:space="preserve">Payback Period (Years)</t>
  </si>
  <si>
    <t xml:space="preserve">5-Year Net Savings (₹)</t>
  </si>
  <si>
    <t xml:space="preserve">10-Year Net Savings (₹)</t>
  </si>
  <si>
    <t xml:space="preserve">CO₂ Reduction (tons/yr)</t>
  </si>
  <si>
    <t xml:space="preserve">Responsible Department</t>
  </si>
  <si>
    <t xml:space="preserve">Replace old motors with energy-efficient motors</t>
  </si>
  <si>
    <t xml:space="preserve">Equipment Upgrade</t>
  </si>
  <si>
    <t xml:space="preserve">Maintenance Dept.</t>
  </si>
  <si>
    <t xml:space="preserve">Replace conventional chokes with electronic chokes</t>
  </si>
  <si>
    <t xml:space="preserve">Electrical Dept.</t>
  </si>
  <si>
    <t xml:space="preserve">Use motion sensors in corridors &amp; toilets</t>
  </si>
  <si>
    <t xml:space="preserve">Automation &amp; IoT</t>
  </si>
  <si>
    <t xml:space="preserve">Energy Audit Committee</t>
  </si>
  <si>
    <t xml:space="preserve">Replace all FTLs with LED lights</t>
  </si>
  <si>
    <t xml:space="preserve">Replace laser printers with inkjet printers</t>
  </si>
  <si>
    <t xml:space="preserve">IT &amp; Admin</t>
  </si>
  <si>
    <t xml:space="preserve">Replace CRT monitors with LCD/LED monitors</t>
  </si>
  <si>
    <t xml:space="preserve">Replace old UPS with energy-efficient UPS</t>
  </si>
  <si>
    <t xml:space="preserve">IT/Infrastructure</t>
  </si>
  <si>
    <t xml:space="preserve">Regular maintenance of batteries</t>
  </si>
  <si>
    <t xml:space="preserve">Maintenance</t>
  </si>
  <si>
    <t xml:space="preserve">Automate appliances with smart assistants</t>
  </si>
  <si>
    <t xml:space="preserve">Increase natural lighting</t>
  </si>
  <si>
    <t xml:space="preserve">Building Design</t>
  </si>
  <si>
    <t xml:space="preserve">Infrastructure Office</t>
  </si>
  <si>
    <t xml:space="preserve">Switch out incandescent lights</t>
  </si>
  <si>
    <t xml:space="preserve">Unplug battery chargers when not in use</t>
  </si>
  <si>
    <t xml:space="preserve">Behavioural</t>
  </si>
  <si>
    <t xml:space="preserve">All Staff &amp; Students</t>
  </si>
  <si>
    <t xml:space="preserve">Automate thermostat by time of day</t>
  </si>
  <si>
    <t xml:space="preserve">Set computers to sleep/hibernate mode</t>
  </si>
  <si>
    <t xml:space="preserve">IT Dept.</t>
  </si>
  <si>
    <t xml:space="preserve">Use electric kettles instead of microwaves</t>
  </si>
  <si>
    <t xml:space="preserve">Hostel/Guest House</t>
  </si>
  <si>
    <t xml:space="preserve">Install low-flow showerheads in hostels</t>
  </si>
  <si>
    <t xml:space="preserve">Hostel Administration</t>
  </si>
  <si>
    <t xml:space="preserve">GRAND TOTAL</t>
  </si>
  <si>
    <t xml:space="preserve">% of Total Savings</t>
  </si>
  <si>
    <t xml:space="preserve">KEY INSTITUTIONAL METRICS — Auto-Calculated</t>
  </si>
  <si>
    <t xml:space="preserve">Total Annual Energy Savings (kWh)</t>
  </si>
  <si>
    <t xml:space="preserve">Total Annual Monetary Savings (₹)</t>
  </si>
  <si>
    <t xml:space="preserve">Total Implementation Cost (₹)</t>
  </si>
  <si>
    <t xml:space="preserve">Overall Payback Period (Years)</t>
  </si>
  <si>
    <t xml:space="preserve">5-Year Net Institutional Savings (₹)</t>
  </si>
  <si>
    <t xml:space="preserve">10-Year Net Institutional Savings (₹)</t>
  </si>
  <si>
    <t xml:space="preserve">Annual CO₂ Reduction (tons)</t>
  </si>
  <si>
    <t xml:space="preserve">Equivalent Trees Planted per Year</t>
  </si>
  <si>
    <t xml:space="preserve">% Energy Reduction (if base = 500,000 kWh)</t>
  </si>
  <si>
    <t xml:space="preserve">Highest-Impact Recommendation</t>
  </si>
  <si>
    <t xml:space="preserve">Fastest Payback Recommendation</t>
  </si>
  <si>
    <t xml:space="preserve">CATEGORY-WISE ENERGY EFFICIENCY ANALYSIS</t>
  </si>
  <si>
    <t xml:space="preserve">Grouped by: Equipment Upgrade | Automation &amp; IoT | Maintenance | Building Design | Behavioural</t>
  </si>
  <si>
    <t xml:space="preserve">#</t>
  </si>
  <si>
    <t xml:space="preserve">No. of Recommendations</t>
  </si>
  <si>
    <t xml:space="preserve">Total Savings (kWh/yr)</t>
  </si>
  <si>
    <t xml:space="preserve">Total Cost (₹)</t>
  </si>
  <si>
    <t xml:space="preserve">Total Annual Savings (₹)</t>
  </si>
  <si>
    <t xml:space="preserve">Avg Payback (Years)</t>
  </si>
  <si>
    <t xml:space="preserve">% of Total kWh Savings</t>
  </si>
  <si>
    <t xml:space="preserve">TOTAL</t>
  </si>
  <si>
    <t xml:space="preserve">100%</t>
  </si>
  <si>
    <t xml:space="preserve">DEPARTMENT-WISE RESPONSIBILITY &amp; IMPLEMENTATION TRACKER</t>
  </si>
  <si>
    <t xml:space="preserve">Auto-linked from Master Dashboard | Tracks each department's assigned savings target and cost responsibility</t>
  </si>
  <si>
    <t xml:space="preserve">PHASED IMPLEMENTATION PLAN &amp; PROGRESS TRACKER</t>
  </si>
  <si>
    <t xml:space="preserve">Phase 1: Quick Wins (0–6 months) | Phase 2: Medium-Term (6–18 months) | Phase 3: Major Investments (18–36 months)</t>
  </si>
  <si>
    <t xml:space="preserve">Phase (1/2/3)</t>
  </si>
  <si>
    <t xml:space="preserve">Priority (H/M/L)</t>
  </si>
  <si>
    <t xml:space="preserve">Start Date</t>
  </si>
  <si>
    <t xml:space="preserve">Target Date</t>
  </si>
  <si>
    <t xml:space="preserve">Actual Cost (₹)</t>
  </si>
  <si>
    <t xml:space="preserve">% Complete</t>
  </si>
  <si>
    <t xml:space="preserve">Status</t>
  </si>
  <si>
    <t xml:space="preserve">Remarks</t>
  </si>
  <si>
    <t xml:space="preserve">1</t>
  </si>
  <si>
    <t xml:space="preserve">H</t>
  </si>
  <si>
    <t xml:space="preserve">M</t>
  </si>
  <si>
    <t xml:space="preserve">2</t>
  </si>
  <si>
    <t xml:space="preserve">3</t>
  </si>
  <si>
    <t xml:space="preserve">L</t>
  </si>
  <si>
    <t xml:space="preserve">Phase-wise Summary — Auto-Calculated</t>
  </si>
  <si>
    <t xml:space="preserve">Phase</t>
  </si>
  <si>
    <t xml:space="preserve">Count</t>
  </si>
  <si>
    <t xml:space="preserve">Avg % Complete</t>
  </si>
  <si>
    <t xml:space="preserve">Phase 1: Quick Wins (0–6 months)</t>
  </si>
  <si>
    <t xml:space="preserve">Phase 2: Medium-Term (6–18 months)</t>
  </si>
  <si>
    <t xml:space="preserve">Phase 3: Major Investments (18–36 months)</t>
  </si>
  <si>
    <t xml:space="preserve">DETAILED TECHNICAL SPECIFICATIONS &amp; JUSTIFICATION</t>
  </si>
  <si>
    <t xml:space="preserve">Technical rationale, before/after comparison, and quantified savings per recommendation</t>
  </si>
  <si>
    <t xml:space="preserve">Technical Description &amp; Rationale</t>
  </si>
  <si>
    <t xml:space="preserve">Before (Old System)</t>
  </si>
  <si>
    <t xml:space="preserve">After (New/Upgraded)</t>
  </si>
  <si>
    <t xml:space="preserve">Quantified Improvement</t>
  </si>
  <si>
    <t xml:space="preserve">Standards / References</t>
  </si>
  <si>
    <t xml:space="preserve">Replace old motors</t>
  </si>
  <si>
    <t xml:space="preserve">Old induction motors: 70–80% efficient, excess heat, high slip</t>
  </si>
  <si>
    <t xml:space="preserve">Standard: IE1 (70–80%)</t>
  </si>
  <si>
    <t xml:space="preserve">Upgrade: IE2/IE3 (90–95%)</t>
  </si>
  <si>
    <t xml:space="preserve">10–15% power reduction per motor</t>
  </si>
  <si>
    <t xml:space="preserve">IS 12615, IEC 60034-30</t>
  </si>
  <si>
    <t xml:space="preserve">Replace chokes</t>
  </si>
  <si>
    <t xml:space="preserve">Magnetic ballast: 10–15W loss/lamp, low power factor (0.5)</t>
  </si>
  <si>
    <t xml:space="preserve">Magnetic choke: 10–15W loss</t>
  </si>
  <si>
    <t xml:space="preserve">Electronic choke: &lt;1W loss</t>
  </si>
  <si>
    <t xml:space="preserve">15–20% energy saving, PF &gt;0.9</t>
  </si>
  <si>
    <t xml:space="preserve">IS 13021, IEC 61347</t>
  </si>
  <si>
    <t xml:space="preserve">Motion sensors</t>
  </si>
  <si>
    <t xml:space="preserve">Corridors/toilets lit 24/7 unnecessarily; PIR sensors detect occupancy</t>
  </si>
  <si>
    <t xml:space="preserve">Constant ON: 100% duty</t>
  </si>
  <si>
    <t xml:space="preserve">Sensor: 60–70% duty</t>
  </si>
  <si>
    <t xml:space="preserve">30–40% lighting savings</t>
  </si>
  <si>
    <t xml:space="preserve">IS 4648, ECBC 2017</t>
  </si>
  <si>
    <t xml:space="preserve">FTL to LED</t>
  </si>
  <si>
    <t xml:space="preserve">FTL (36W+choke) = 46W vs LED tube (18W); better CRI, no flickering</t>
  </si>
  <si>
    <t xml:space="preserve">FTL: 46W per tube</t>
  </si>
  <si>
    <t xml:space="preserve">LED: 18W per tube</t>
  </si>
  <si>
    <t xml:space="preserve">60–65% reduction per point</t>
  </si>
  <si>
    <t xml:space="preserve">IS 16102, IEC 62560</t>
  </si>
  <si>
    <t xml:space="preserve">Laser to inkjet</t>
  </si>
  <si>
    <t xml:space="preserve">Laser fuser heats to 200°C (500–1000W); inkjet uses 30–50W</t>
  </si>
  <si>
    <t xml:space="preserve">Laser: 500–1000W peak</t>
  </si>
  <si>
    <t xml:space="preserve">Inkjet: 30–50W</t>
  </si>
  <si>
    <t xml:space="preserve">80–90% energy reduction</t>
  </si>
  <si>
    <t xml:space="preserve">Energy Star, BEE Label</t>
  </si>
  <si>
    <t xml:space="preserve">CRT to LCD/LED</t>
  </si>
  <si>
    <t xml:space="preserve">CRT ~100W, heavy, poor ergonomics; LCD/LED 25–40W, thin, crisp</t>
  </si>
  <si>
    <t xml:space="preserve">CRT: ~100W</t>
  </si>
  <si>
    <t xml:space="preserve">LCD/LED: 25–40W</t>
  </si>
  <si>
    <t xml:space="preserve">60–75% reduction</t>
  </si>
  <si>
    <t xml:space="preserve">Energy Star, BIS</t>
  </si>
  <si>
    <t xml:space="preserve">Old to efficient UPS</t>
  </si>
  <si>
    <t xml:space="preserve">Old UPS: 70–80% conversion; modern &gt;95%; less heat waste</t>
  </si>
  <si>
    <t xml:space="preserve">Old UPS: 70–80% eff.</t>
  </si>
  <si>
    <t xml:space="preserve">New UPS: &gt;95% eff.</t>
  </si>
  <si>
    <t xml:space="preserve">15–25% standby savings</t>
  </si>
  <si>
    <t xml:space="preserve">IS 16242, IEC 62040</t>
  </si>
  <si>
    <t xml:space="preserve">Battery maintenance</t>
  </si>
  <si>
    <t xml:space="preserve">Neglected batteries: sulfation, leakage, early failure, energy waste</t>
  </si>
  <si>
    <t xml:space="preserve">Unmaintained: 60–70% capacity</t>
  </si>
  <si>
    <t xml:space="preserve">Maintained: 90–95% capacity</t>
  </si>
  <si>
    <t xml:space="preserve">20–30% efficiency gain</t>
  </si>
  <si>
    <t xml:space="preserve">IS 1651, IEEE 1188</t>
  </si>
  <si>
    <t xml:space="preserve">Smart assistants</t>
  </si>
  <si>
    <t xml:space="preserve">Devices left ON by humans; IoT timers enforce schedules automatically</t>
  </si>
  <si>
    <t xml:space="preserve">Manual: human error prone</t>
  </si>
  <si>
    <t xml:space="preserve">Auto: scheduled ON/OFF</t>
  </si>
  <si>
    <t xml:space="preserve">Eliminates phantom loads</t>
  </si>
  <si>
    <t xml:space="preserve">IoT Standards, BIS</t>
  </si>
  <si>
    <t xml:space="preserve">Natural lighting</t>
  </si>
  <si>
    <t xml:space="preserve">Dark corridors lit artificially; reflective surfaces redirect daylight</t>
  </si>
  <si>
    <t xml:space="preserve">No daylight harvesting</t>
  </si>
  <si>
    <t xml:space="preserve">Mirrors, light paint, skylights</t>
  </si>
  <si>
    <t xml:space="preserve">Reduces daytime lighting 30–50%</t>
  </si>
  <si>
    <t xml:space="preserve">NBC 2016, ECBC 2017, IGBC</t>
  </si>
  <si>
    <t xml:space="preserve">Incandescent to LED</t>
  </si>
  <si>
    <t xml:space="preserve">Incandescent: 10% light / 90% heat; extreme inefficiency</t>
  </si>
  <si>
    <t xml:space="preserve">Incandescent: 60–100W</t>
  </si>
  <si>
    <t xml:space="preserve">LED: 7–12W</t>
  </si>
  <si>
    <t xml:space="preserve">85–90% energy reduction</t>
  </si>
  <si>
    <t xml:space="preserve">IS 16102, BEE Star</t>
  </si>
  <si>
    <t xml:space="preserve">Unplug chargers</t>
  </si>
  <si>
    <t xml:space="preserve">Idle chargers draw 0.5–2W each (vampire load); institutional scale adds up</t>
  </si>
  <si>
    <t xml:space="preserve">Plugged in: 0.5–2W idle</t>
  </si>
  <si>
    <t xml:space="preserve">Unplugged: 0W</t>
  </si>
  <si>
    <t xml:space="preserve">Eliminates vampire load</t>
  </si>
  <si>
    <t xml:space="preserve">Awareness campaign</t>
  </si>
  <si>
    <t xml:space="preserve">Smart thermostat</t>
  </si>
  <si>
    <t xml:space="preserve">Manual AC: full power all day; smart adjusts by schedule/occupancy</t>
  </si>
  <si>
    <t xml:space="preserve">Manual: constant set-point</t>
  </si>
  <si>
    <t xml:space="preserve">Smart: adaptive schedule</t>
  </si>
  <si>
    <t xml:space="preserve">10–15% HVAC savings</t>
  </si>
  <si>
    <t xml:space="preserve">BEE, ECBC 2017</t>
  </si>
  <si>
    <t xml:space="preserve">Computer sleep mode</t>
  </si>
  <si>
    <t xml:space="preserve">Idle desktop: 50–100W; sleep: 1–3W; hibernate: &lt;1W</t>
  </si>
  <si>
    <t xml:space="preserve">Idle ON: 50–100W</t>
  </si>
  <si>
    <t xml:space="preserve">Sleep: 1–3W</t>
  </si>
  <si>
    <t xml:space="preserve">~95% idle reduction</t>
  </si>
  <si>
    <t xml:space="preserve">Energy Star, IT Policy</t>
  </si>
  <si>
    <t xml:space="preserve">Kettles vs microwaves</t>
  </si>
  <si>
    <t xml:space="preserve">Kettle: 80–90% direct heating; microwave: scattered, less efficient</t>
  </si>
  <si>
    <t xml:space="preserve">Microwave: 50–65% eff.</t>
  </si>
  <si>
    <t xml:space="preserve">Kettle: 80–90% eff.</t>
  </si>
  <si>
    <t xml:space="preserve">20–30% energy savings for water heating</t>
  </si>
  <si>
    <t xml:space="preserve">BIS, Energy Star</t>
  </si>
  <si>
    <t xml:space="preserve">Low-flow showerheads</t>
  </si>
  <si>
    <t xml:space="preserve">Standard: 12–15 L/min; low-flow: 6–8 L/min; halves hot water demand</t>
  </si>
  <si>
    <t xml:space="preserve">Standard: 12–15 L/min</t>
  </si>
  <si>
    <t xml:space="preserve">Low-flow: 6–8 L/min</t>
  </si>
  <si>
    <t xml:space="preserve">50% hot water energy savings</t>
  </si>
  <si>
    <t xml:space="preserve">IS 6392, WaterSense</t>
  </si>
  <si>
    <t xml:space="preserve">BEFORE vs AFTER ENERGY COMPARISON — QUANTIFIED IMPACT</t>
  </si>
  <si>
    <t xml:space="preserve">Auto-calculated: Enter 'Before' consumption → formulas compute 'After', Savings, Cost Reduction &amp; CO₂ impact</t>
  </si>
  <si>
    <t xml:space="preserve">Before (kWh/yr)</t>
  </si>
  <si>
    <t xml:space="preserve">After (kWh/yr)</t>
  </si>
  <si>
    <t xml:space="preserve">Savings (kWh/yr)</t>
  </si>
  <si>
    <t xml:space="preserve">% Reduction</t>
  </si>
  <si>
    <t xml:space="preserve">Annual Cost Savings (₹)</t>
  </si>
  <si>
    <t xml:space="preserve">CO₂ Saved (tons/yr)</t>
  </si>
  <si>
    <t xml:space="preserve">ENVIRONMENTAL &amp; CARBON IMPACT — ALL 16 RECOMMENDATIONS</t>
  </si>
  <si>
    <t xml:space="preserve">Auto-linked: CO₂, SO₂, NOx reduction + lifetime projections | Indian grid: 0.82 tCO₂/MWh</t>
  </si>
  <si>
    <t xml:space="preserve">CO₂ Avoided (tons/yr)</t>
  </si>
  <si>
    <t xml:space="preserve">SO₂ Avoided (kg/yr)</t>
  </si>
  <si>
    <t xml:space="preserve">NOx Avoided (kg/yr)</t>
  </si>
  <si>
    <t xml:space="preserve">Trees Equivalent/yr</t>
  </si>
  <si>
    <t xml:space="preserve">ANNUAL TOTAL</t>
  </si>
  <si>
    <t xml:space="preserve">10-YEAR LIFETIME</t>
  </si>
  <si>
    <t xml:space="preserve">25-YEAR LIFETIME</t>
  </si>
  <si>
    <t xml:space="preserve">ENERGY EFFICIENCY RECOMMENDATIONS — DATA QUALITY &amp; AUDIT CHECKLIST</t>
  </si>
  <si>
    <t xml:space="preserve">20-point verification for data accuracy, financial integrity &amp; implementation readiness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</si>
  <si>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</si>
  <si>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</si>
  <si>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</si>
  <si>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</si>
  <si>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</si>
  <si>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Baseline energy consumption</t>
  </si>
  <si>
    <t xml:space="preserve">Institutional baseline verified from utility bills for 12 consecutive months (kWh)</t>
  </si>
  <si>
    <t xml:space="preserve">Appliance inventory accuracy</t>
  </si>
  <si>
    <t xml:space="preserve">Appliance counts verified against physical inspection or departmental inventory registers</t>
  </si>
  <si>
    <t xml:space="preserve">Wattage ratings verified</t>
  </si>
  <si>
    <t xml:space="preserve">Rated wattage for each appliance type cross-checked against nameplate or BEE database</t>
  </si>
  <si>
    <t xml:space="preserve">Savings estimates methodology</t>
  </si>
  <si>
    <t xml:space="preserve">kWh savings calculated using accepted engineering formulas, not estimates or vendor claims</t>
  </si>
  <si>
    <t xml:space="preserve">Cost estimates sourced</t>
  </si>
  <si>
    <t xml:space="preserve">Implementation costs verified against minimum 3 vendor quotations or GeM portal rates</t>
  </si>
  <si>
    <t xml:space="preserve">Tariff rate current</t>
  </si>
  <si>
    <t xml:space="preserve">Electricity tariff matches latest DISCOM tariff order for institutional HT/LT category</t>
  </si>
  <si>
    <t xml:space="preserve">Payback calculation</t>
  </si>
  <si>
    <t xml:space="preserve">Payback = Cost ÷ Annual Savings; verified manually for all 16 recommendations</t>
  </si>
  <si>
    <t xml:space="preserve">CO₂ emission factor</t>
  </si>
  <si>
    <t xml:space="preserve">CEA CO₂ Baseline Database (0.82 tCO₂/MWh) or latest published figure used consistently</t>
  </si>
  <si>
    <t xml:space="preserve">Category classification</t>
  </si>
  <si>
    <t xml:space="preserve">Each recommendation correctly classified (Equipment/Automation/Maintenance/Building/Behavioural)</t>
  </si>
  <si>
    <t xml:space="preserve">Department assignment</t>
  </si>
  <si>
    <t xml:space="preserve">Responsible departments confirmed by institutional authority; no overlaps or gaps</t>
  </si>
  <si>
    <t xml:space="preserve">Phase assignment rationale</t>
  </si>
  <si>
    <t xml:space="preserve">Phase 1/2/3 assignment based on cost, complexity, and institutional readiness assessment</t>
  </si>
  <si>
    <t xml:space="preserve">Priority assignment</t>
  </si>
  <si>
    <t xml:space="preserve">H/M/L priorities verified against energy audit report recommendations</t>
  </si>
  <si>
    <t xml:space="preserve">Technical specifications</t>
  </si>
  <si>
    <t xml:space="preserve">Before/After technical comparisons verified against IS/IEC/BIS standards cited</t>
  </si>
  <si>
    <t xml:space="preserve">BEE star rating reference</t>
  </si>
  <si>
    <t xml:space="preserve">Star ratings for applicable appliances verified from BEE label database</t>
  </si>
  <si>
    <t xml:space="preserve">Double-counting check</t>
  </si>
  <si>
    <t xml:space="preserve">No savings counted twice across overlapping recommendations (e.g., FTL→LED and incandescent→LED)</t>
  </si>
  <si>
    <t xml:space="preserve">Sensitivity analysis</t>
  </si>
  <si>
    <t xml:space="preserve">Key assumptions (tariff, usage hours, degradation) tested with ±10% variation</t>
  </si>
  <si>
    <t xml:space="preserve">Measurement &amp; Verification plan</t>
  </si>
  <si>
    <t xml:space="preserve">M&amp;V protocol defined for post-implementation savings verification (IPMVP Option A/B)</t>
  </si>
  <si>
    <t xml:space="preserve">Institutional approval</t>
  </si>
  <si>
    <t xml:space="preserve">Energy efficiency implementation plan approved by competent institutional authority</t>
  </si>
  <si>
    <t xml:space="preserve">Budget allocation confirmed</t>
  </si>
  <si>
    <t xml:space="preserve">Budget allocated in institutional financial plan for all three implementation phases</t>
  </si>
  <si>
    <t xml:space="preserve">Annual review mechanism</t>
  </si>
  <si>
    <t xml:space="preserve">Annual review and reporting mechanism established for tracking actual vs. projected savings</t>
  </si>
  <si>
    <t xml:space="preserve">Checks Passed</t>
  </si>
  <si>
    <t xml:space="preserve">Completion Rate (%)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</si>
</sst>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₹#,##0"/>
    <numFmt numFmtId="167" formatCode="\₹#,##0.00"/>
    <numFmt numFmtId="168" formatCode="0.0"/>
    <numFmt numFmtId="169" formatCode="0.0\%"/>
    <numFmt numFmtId="170" formatCode="@"/>
    <numFmt numFmtId="171" formatCode="dd\-mmm\-yyyy"/>
    <numFmt numFmtId="172" formatCode="0\%"/>
    <numFmt numFmtId="173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B71C1C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9"/>
      <color rgb="FF66666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695C"/>
        <bgColor rgb="FF00838F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0D47A1"/>
        <bgColor rgb="FF0066CC"/>
      </patternFill>
    </fill>
    <fill>
      <patternFill patternType="solid">
        <fgColor rgb="FFFFF8E1"/>
        <bgColor rgb="FFF5F5F5"/>
      </patternFill>
    </fill>
    <fill>
      <patternFill patternType="solid">
        <fgColor rgb="FF00838F"/>
        <bgColor rgb="FF00695C"/>
      </patternFill>
    </fill>
    <fill>
      <patternFill patternType="solid">
        <fgColor rgb="FF4A148C"/>
        <bgColor rgb="FF800080"/>
      </patternFill>
    </fill>
    <fill>
      <patternFill patternType="solid">
        <fgColor rgb="FFFF8F00"/>
        <bgColor rgb="FFFF8080"/>
      </patternFill>
    </fill>
    <fill>
      <patternFill patternType="solid">
        <fgColor rgb="FF37474F"/>
        <bgColor rgb="FF333333"/>
      </patternFill>
    </fill>
    <fill>
      <patternFill patternType="solid">
        <fgColor rgb="FFE65100"/>
        <bgColor rgb="FFB71C1C"/>
      </patternFill>
    </fill>
    <fill>
      <patternFill patternType="solid">
        <fgColor rgb="FF1B5E20"/>
        <bgColor rgb="FF00695C"/>
      </patternFill>
    </fill>
    <fill>
      <patternFill patternType="solid">
        <fgColor rgb="FF2E7D32"/>
        <bgColor rgb="FF1B5E20"/>
      </patternFill>
    </fill>
    <fill>
      <patternFill patternType="solid">
        <fgColor rgb="FFB71C1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B5E20"/>
        <sz val="10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B71C1C"/>
        <sz val="10"/>
      </font>
      <fill>
        <patternFill>
          <bgColor rgb="FFFFEB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38F"/>
      <rgbColor rgb="FFBDBDBD"/>
      <rgbColor rgb="FF808080"/>
      <rgbColor rgb="FF9999FF"/>
      <rgbColor rgb="FF993366"/>
      <rgbColor rgb="FFFFF8E1"/>
      <rgbColor rgb="FFE8F5E9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695C"/>
      <rgbColor rgb="FF0000FF"/>
      <rgbColor rgb="FF00CCFF"/>
      <rgbColor rgb="FFF5F5F5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F00"/>
      <rgbColor rgb="FFE65100"/>
      <rgbColor rgb="FF666666"/>
      <rgbColor rgb="FF969696"/>
      <rgbColor rgb="FF0D47A1"/>
      <rgbColor rgb="FF2E7D32"/>
      <rgbColor rgb="FF003300"/>
      <rgbColor rgb="FF333300"/>
      <rgbColor rgb="FFB71C1C"/>
      <rgbColor rgb="FF993366"/>
      <rgbColor rgb="FF37474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8"/>
    <col collapsed="false" customWidth="true" hidden="false" outlineLevel="0" max="10" min="8" style="0" width="20"/>
    <col collapsed="false" customWidth="true" hidden="false" outlineLevel="0" max="12" min="11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n">
        <v>1</v>
      </c>
      <c r="B5" s="5" t="s">
        <v>14</v>
      </c>
      <c r="C5" s="6" t="s">
        <v>15</v>
      </c>
      <c r="D5" s="7" t="n">
        <v>20000</v>
      </c>
      <c r="E5" s="8" t="n">
        <v>500000</v>
      </c>
      <c r="F5" s="9" t="n">
        <v>8</v>
      </c>
      <c r="G5" s="10" t="n">
        <f aca="false">D5*F5</f>
        <v>160000</v>
      </c>
      <c r="H5" s="11" t="n">
        <f aca="false">IF(G5&gt;0,E5/G5,0)</f>
        <v>3.125</v>
      </c>
      <c r="I5" s="10" t="n">
        <f aca="false">G5*5-E5</f>
        <v>300000</v>
      </c>
      <c r="J5" s="10" t="n">
        <f aca="false">G5*10-E5</f>
        <v>1100000</v>
      </c>
      <c r="K5" s="11" t="n">
        <f aca="false">D5*0.82/1000</f>
        <v>16.4</v>
      </c>
      <c r="L5" s="6" t="s">
        <v>16</v>
      </c>
    </row>
    <row r="6" customFormat="false" ht="23.85" hidden="false" customHeight="false" outlineLevel="0" collapsed="false">
      <c r="A6" s="12" t="n">
        <v>2</v>
      </c>
      <c r="B6" s="13" t="s">
        <v>17</v>
      </c>
      <c r="C6" s="14" t="s">
        <v>15</v>
      </c>
      <c r="D6" s="15" t="n">
        <v>5000</v>
      </c>
      <c r="E6" s="16" t="n">
        <v>100000</v>
      </c>
      <c r="F6" s="17" t="n">
        <v>8</v>
      </c>
      <c r="G6" s="18" t="n">
        <f aca="false">D6*F6</f>
        <v>40000</v>
      </c>
      <c r="H6" s="19" t="n">
        <f aca="false">IF(G6&gt;0,E6/G6,0)</f>
        <v>2.5</v>
      </c>
      <c r="I6" s="18" t="n">
        <f aca="false">G6*5-E6</f>
        <v>100000</v>
      </c>
      <c r="J6" s="18" t="n">
        <f aca="false">G6*10-E6</f>
        <v>300000</v>
      </c>
      <c r="K6" s="19" t="n">
        <f aca="false">D6*0.82/1000</f>
        <v>4.1</v>
      </c>
      <c r="L6" s="14" t="s">
        <v>18</v>
      </c>
    </row>
    <row r="7" customFormat="false" ht="15" hidden="false" customHeight="false" outlineLevel="0" collapsed="false">
      <c r="A7" s="4" t="n">
        <v>3</v>
      </c>
      <c r="B7" s="5" t="s">
        <v>19</v>
      </c>
      <c r="C7" s="6" t="s">
        <v>20</v>
      </c>
      <c r="D7" s="7" t="n">
        <v>12000</v>
      </c>
      <c r="E7" s="8" t="n">
        <v>150000</v>
      </c>
      <c r="F7" s="9" t="n">
        <v>8</v>
      </c>
      <c r="G7" s="10" t="n">
        <f aca="false">D7*F7</f>
        <v>96000</v>
      </c>
      <c r="H7" s="11" t="n">
        <f aca="false">IF(G7&gt;0,E7/G7,0)</f>
        <v>1.5625</v>
      </c>
      <c r="I7" s="10" t="n">
        <f aca="false">G7*5-E7</f>
        <v>330000</v>
      </c>
      <c r="J7" s="10" t="n">
        <f aca="false">G7*10-E7</f>
        <v>810000</v>
      </c>
      <c r="K7" s="11" t="n">
        <f aca="false">D7*0.82/1000</f>
        <v>9.84</v>
      </c>
      <c r="L7" s="6" t="s">
        <v>21</v>
      </c>
    </row>
    <row r="8" customFormat="false" ht="23.85" hidden="false" customHeight="false" outlineLevel="0" collapsed="false">
      <c r="A8" s="12" t="n">
        <v>4</v>
      </c>
      <c r="B8" s="13" t="s">
        <v>22</v>
      </c>
      <c r="C8" s="14" t="s">
        <v>15</v>
      </c>
      <c r="D8" s="15" t="n">
        <v>36000</v>
      </c>
      <c r="E8" s="16" t="n">
        <v>400000</v>
      </c>
      <c r="F8" s="17" t="n">
        <v>8</v>
      </c>
      <c r="G8" s="18" t="n">
        <f aca="false">D8*F8</f>
        <v>288000</v>
      </c>
      <c r="H8" s="19" t="n">
        <f aca="false">IF(G8&gt;0,E8/G8,0)</f>
        <v>1.38888888888889</v>
      </c>
      <c r="I8" s="18" t="n">
        <f aca="false">G8*5-E8</f>
        <v>1040000</v>
      </c>
      <c r="J8" s="18" t="n">
        <f aca="false">G8*10-E8</f>
        <v>2480000</v>
      </c>
      <c r="K8" s="19" t="n">
        <f aca="false">D8*0.82/1000</f>
        <v>29.52</v>
      </c>
      <c r="L8" s="14" t="s">
        <v>18</v>
      </c>
    </row>
    <row r="9" customFormat="false" ht="23.85" hidden="false" customHeight="false" outlineLevel="0" collapsed="false">
      <c r="A9" s="4" t="n">
        <v>5</v>
      </c>
      <c r="B9" s="5" t="s">
        <v>23</v>
      </c>
      <c r="C9" s="6" t="s">
        <v>15</v>
      </c>
      <c r="D9" s="7" t="n">
        <v>4000</v>
      </c>
      <c r="E9" s="8" t="n">
        <v>80000</v>
      </c>
      <c r="F9" s="9" t="n">
        <v>8</v>
      </c>
      <c r="G9" s="10" t="n">
        <f aca="false">D9*F9</f>
        <v>32000</v>
      </c>
      <c r="H9" s="11" t="n">
        <f aca="false">IF(G9&gt;0,E9/G9,0)</f>
        <v>2.5</v>
      </c>
      <c r="I9" s="10" t="n">
        <f aca="false">G9*5-E9</f>
        <v>80000</v>
      </c>
      <c r="J9" s="10" t="n">
        <f aca="false">G9*10-E9</f>
        <v>240000</v>
      </c>
      <c r="K9" s="11" t="n">
        <f aca="false">D9*0.82/1000</f>
        <v>3.28</v>
      </c>
      <c r="L9" s="6" t="s">
        <v>24</v>
      </c>
    </row>
    <row r="10" customFormat="false" ht="23.85" hidden="false" customHeight="false" outlineLevel="0" collapsed="false">
      <c r="A10" s="12" t="n">
        <v>6</v>
      </c>
      <c r="B10" s="13" t="s">
        <v>25</v>
      </c>
      <c r="C10" s="14" t="s">
        <v>15</v>
      </c>
      <c r="D10" s="15" t="n">
        <v>10000</v>
      </c>
      <c r="E10" s="16" t="n">
        <v>120000</v>
      </c>
      <c r="F10" s="17" t="n">
        <v>8</v>
      </c>
      <c r="G10" s="18" t="n">
        <f aca="false">D10*F10</f>
        <v>80000</v>
      </c>
      <c r="H10" s="19" t="n">
        <f aca="false">IF(G10&gt;0,E10/G10,0)</f>
        <v>1.5</v>
      </c>
      <c r="I10" s="18" t="n">
        <f aca="false">G10*5-E10</f>
        <v>280000</v>
      </c>
      <c r="J10" s="18" t="n">
        <f aca="false">G10*10-E10</f>
        <v>680000</v>
      </c>
      <c r="K10" s="19" t="n">
        <f aca="false">D10*0.82/1000</f>
        <v>8.2</v>
      </c>
      <c r="L10" s="14" t="s">
        <v>24</v>
      </c>
    </row>
    <row r="11" customFormat="false" ht="23.85" hidden="false" customHeight="false" outlineLevel="0" collapsed="false">
      <c r="A11" s="4" t="n">
        <v>7</v>
      </c>
      <c r="B11" s="5" t="s">
        <v>26</v>
      </c>
      <c r="C11" s="6" t="s">
        <v>15</v>
      </c>
      <c r="D11" s="7" t="n">
        <v>8000</v>
      </c>
      <c r="E11" s="8" t="n">
        <v>250000</v>
      </c>
      <c r="F11" s="9" t="n">
        <v>8</v>
      </c>
      <c r="G11" s="10" t="n">
        <f aca="false">D11*F11</f>
        <v>64000</v>
      </c>
      <c r="H11" s="11" t="n">
        <f aca="false">IF(G11&gt;0,E11/G11,0)</f>
        <v>3.90625</v>
      </c>
      <c r="I11" s="10" t="n">
        <f aca="false">G11*5-E11</f>
        <v>70000</v>
      </c>
      <c r="J11" s="10" t="n">
        <f aca="false">G11*10-E11</f>
        <v>390000</v>
      </c>
      <c r="K11" s="11" t="n">
        <f aca="false">D11*0.82/1000</f>
        <v>6.56</v>
      </c>
      <c r="L11" s="6" t="s">
        <v>27</v>
      </c>
    </row>
    <row r="12" customFormat="false" ht="15" hidden="false" customHeight="false" outlineLevel="0" collapsed="false">
      <c r="A12" s="12" t="n">
        <v>8</v>
      </c>
      <c r="B12" s="13" t="s">
        <v>28</v>
      </c>
      <c r="C12" s="14" t="s">
        <v>29</v>
      </c>
      <c r="D12" s="15" t="n">
        <v>3000</v>
      </c>
      <c r="E12" s="16" t="n">
        <v>20000</v>
      </c>
      <c r="F12" s="17" t="n">
        <v>8</v>
      </c>
      <c r="G12" s="18" t="n">
        <f aca="false">D12*F12</f>
        <v>24000</v>
      </c>
      <c r="H12" s="19" t="n">
        <f aca="false">IF(G12&gt;0,E12/G12,0)</f>
        <v>0.833333333333333</v>
      </c>
      <c r="I12" s="18" t="n">
        <f aca="false">G12*5-E12</f>
        <v>100000</v>
      </c>
      <c r="J12" s="18" t="n">
        <f aca="false">G12*10-E12</f>
        <v>220000</v>
      </c>
      <c r="K12" s="19" t="n">
        <f aca="false">D12*0.82/1000</f>
        <v>2.46</v>
      </c>
      <c r="L12" s="14" t="s">
        <v>16</v>
      </c>
    </row>
    <row r="13" customFormat="false" ht="23.85" hidden="false" customHeight="false" outlineLevel="0" collapsed="false">
      <c r="A13" s="4" t="n">
        <v>9</v>
      </c>
      <c r="B13" s="5" t="s">
        <v>30</v>
      </c>
      <c r="C13" s="6" t="s">
        <v>20</v>
      </c>
      <c r="D13" s="7" t="n">
        <v>2000</v>
      </c>
      <c r="E13" s="8" t="n">
        <v>50000</v>
      </c>
      <c r="F13" s="9" t="n">
        <v>8</v>
      </c>
      <c r="G13" s="10" t="n">
        <f aca="false">D13*F13</f>
        <v>16000</v>
      </c>
      <c r="H13" s="11" t="n">
        <f aca="false">IF(G13&gt;0,E13/G13,0)</f>
        <v>3.125</v>
      </c>
      <c r="I13" s="10" t="n">
        <f aca="false">G13*5-E13</f>
        <v>30000</v>
      </c>
      <c r="J13" s="10" t="n">
        <f aca="false">G13*10-E13</f>
        <v>110000</v>
      </c>
      <c r="K13" s="11" t="n">
        <f aca="false">D13*0.82/1000</f>
        <v>1.64</v>
      </c>
      <c r="L13" s="6" t="s">
        <v>21</v>
      </c>
    </row>
    <row r="14" customFormat="false" ht="15" hidden="false" customHeight="false" outlineLevel="0" collapsed="false">
      <c r="A14" s="12" t="n">
        <v>10</v>
      </c>
      <c r="B14" s="13" t="s">
        <v>31</v>
      </c>
      <c r="C14" s="14" t="s">
        <v>32</v>
      </c>
      <c r="D14" s="15" t="n">
        <v>1500</v>
      </c>
      <c r="E14" s="16" t="n">
        <v>30000</v>
      </c>
      <c r="F14" s="17" t="n">
        <v>8</v>
      </c>
      <c r="G14" s="18" t="n">
        <f aca="false">D14*F14</f>
        <v>12000</v>
      </c>
      <c r="H14" s="19" t="n">
        <f aca="false">IF(G14&gt;0,E14/G14,0)</f>
        <v>2.5</v>
      </c>
      <c r="I14" s="18" t="n">
        <f aca="false">G14*5-E14</f>
        <v>30000</v>
      </c>
      <c r="J14" s="18" t="n">
        <f aca="false">G14*10-E14</f>
        <v>90000</v>
      </c>
      <c r="K14" s="19" t="n">
        <f aca="false">D14*0.82/1000</f>
        <v>1.23</v>
      </c>
      <c r="L14" s="14" t="s">
        <v>33</v>
      </c>
    </row>
    <row r="15" customFormat="false" ht="23.85" hidden="false" customHeight="false" outlineLevel="0" collapsed="false">
      <c r="A15" s="4" t="n">
        <v>11</v>
      </c>
      <c r="B15" s="5" t="s">
        <v>34</v>
      </c>
      <c r="C15" s="6" t="s">
        <v>15</v>
      </c>
      <c r="D15" s="7" t="n">
        <v>6000</v>
      </c>
      <c r="E15" s="8" t="n">
        <v>50000</v>
      </c>
      <c r="F15" s="9" t="n">
        <v>8</v>
      </c>
      <c r="G15" s="10" t="n">
        <f aca="false">D15*F15</f>
        <v>48000</v>
      </c>
      <c r="H15" s="11" t="n">
        <f aca="false">IF(G15&gt;0,E15/G15,0)</f>
        <v>1.04166666666667</v>
      </c>
      <c r="I15" s="10" t="n">
        <f aca="false">G15*5-E15</f>
        <v>190000</v>
      </c>
      <c r="J15" s="10" t="n">
        <f aca="false">G15*10-E15</f>
        <v>430000</v>
      </c>
      <c r="K15" s="11" t="n">
        <f aca="false">D15*0.82/1000</f>
        <v>4.92</v>
      </c>
      <c r="L15" s="6" t="s">
        <v>18</v>
      </c>
    </row>
    <row r="16" customFormat="false" ht="15" hidden="false" customHeight="false" outlineLevel="0" collapsed="false">
      <c r="A16" s="12" t="n">
        <v>12</v>
      </c>
      <c r="B16" s="13" t="s">
        <v>35</v>
      </c>
      <c r="C16" s="14" t="s">
        <v>36</v>
      </c>
      <c r="D16" s="15" t="n">
        <v>1000</v>
      </c>
      <c r="E16" s="16" t="n">
        <v>10000</v>
      </c>
      <c r="F16" s="17" t="n">
        <v>8</v>
      </c>
      <c r="G16" s="18" t="n">
        <f aca="false">D16*F16</f>
        <v>8000</v>
      </c>
      <c r="H16" s="19" t="n">
        <f aca="false">IF(G16&gt;0,E16/G16,0)</f>
        <v>1.25</v>
      </c>
      <c r="I16" s="18" t="n">
        <f aca="false">G16*5-E16</f>
        <v>30000</v>
      </c>
      <c r="J16" s="18" t="n">
        <f aca="false">G16*10-E16</f>
        <v>70000</v>
      </c>
      <c r="K16" s="19" t="n">
        <f aca="false">D16*0.82/1000</f>
        <v>0.82</v>
      </c>
      <c r="L16" s="14" t="s">
        <v>37</v>
      </c>
    </row>
    <row r="17" customFormat="false" ht="15" hidden="false" customHeight="false" outlineLevel="0" collapsed="false">
      <c r="A17" s="4" t="n">
        <v>13</v>
      </c>
      <c r="B17" s="5" t="s">
        <v>38</v>
      </c>
      <c r="C17" s="6" t="s">
        <v>20</v>
      </c>
      <c r="D17" s="7" t="n">
        <v>7000</v>
      </c>
      <c r="E17" s="8" t="n">
        <v>70000</v>
      </c>
      <c r="F17" s="9" t="n">
        <v>8</v>
      </c>
      <c r="G17" s="10" t="n">
        <f aca="false">D17*F17</f>
        <v>56000</v>
      </c>
      <c r="H17" s="11" t="n">
        <f aca="false">IF(G17&gt;0,E17/G17,0)</f>
        <v>1.25</v>
      </c>
      <c r="I17" s="10" t="n">
        <f aca="false">G17*5-E17</f>
        <v>210000</v>
      </c>
      <c r="J17" s="10" t="n">
        <f aca="false">G17*10-E17</f>
        <v>490000</v>
      </c>
      <c r="K17" s="11" t="n">
        <f aca="false">D17*0.82/1000</f>
        <v>5.74</v>
      </c>
      <c r="L17" s="6" t="s">
        <v>16</v>
      </c>
    </row>
    <row r="18" customFormat="false" ht="15" hidden="false" customHeight="false" outlineLevel="0" collapsed="false">
      <c r="A18" s="12" t="n">
        <v>14</v>
      </c>
      <c r="B18" s="13" t="s">
        <v>39</v>
      </c>
      <c r="C18" s="14" t="s">
        <v>36</v>
      </c>
      <c r="D18" s="15" t="n">
        <v>5000</v>
      </c>
      <c r="E18" s="16" t="n">
        <v>40000</v>
      </c>
      <c r="F18" s="17" t="n">
        <v>8</v>
      </c>
      <c r="G18" s="18" t="n">
        <f aca="false">D18*F18</f>
        <v>40000</v>
      </c>
      <c r="H18" s="19" t="n">
        <f aca="false">IF(G18&gt;0,E18/G18,0)</f>
        <v>1</v>
      </c>
      <c r="I18" s="18" t="n">
        <f aca="false">G18*5-E18</f>
        <v>160000</v>
      </c>
      <c r="J18" s="18" t="n">
        <f aca="false">G18*10-E18</f>
        <v>360000</v>
      </c>
      <c r="K18" s="19" t="n">
        <f aca="false">D18*0.82/1000</f>
        <v>4.1</v>
      </c>
      <c r="L18" s="14" t="s">
        <v>40</v>
      </c>
    </row>
    <row r="19" customFormat="false" ht="23.85" hidden="false" customHeight="false" outlineLevel="0" collapsed="false">
      <c r="A19" s="4" t="n">
        <v>15</v>
      </c>
      <c r="B19" s="5" t="s">
        <v>41</v>
      </c>
      <c r="C19" s="6" t="s">
        <v>15</v>
      </c>
      <c r="D19" s="7" t="n">
        <v>2500</v>
      </c>
      <c r="E19" s="8" t="n">
        <v>30000</v>
      </c>
      <c r="F19" s="9" t="n">
        <v>8</v>
      </c>
      <c r="G19" s="10" t="n">
        <f aca="false">D19*F19</f>
        <v>20000</v>
      </c>
      <c r="H19" s="11" t="n">
        <f aca="false">IF(G19&gt;0,E19/G19,0)</f>
        <v>1.5</v>
      </c>
      <c r="I19" s="10" t="n">
        <f aca="false">G19*5-E19</f>
        <v>70000</v>
      </c>
      <c r="J19" s="10" t="n">
        <f aca="false">G19*10-E19</f>
        <v>170000</v>
      </c>
      <c r="K19" s="11" t="n">
        <f aca="false">D19*0.82/1000</f>
        <v>2.05</v>
      </c>
      <c r="L19" s="6" t="s">
        <v>42</v>
      </c>
    </row>
    <row r="20" customFormat="false" ht="15" hidden="false" customHeight="false" outlineLevel="0" collapsed="false">
      <c r="A20" s="12" t="n">
        <v>16</v>
      </c>
      <c r="B20" s="13" t="s">
        <v>43</v>
      </c>
      <c r="C20" s="14" t="s">
        <v>32</v>
      </c>
      <c r="D20" s="15" t="n">
        <v>4000</v>
      </c>
      <c r="E20" s="16" t="n">
        <v>25000</v>
      </c>
      <c r="F20" s="17" t="n">
        <v>8</v>
      </c>
      <c r="G20" s="18" t="n">
        <f aca="false">D20*F20</f>
        <v>32000</v>
      </c>
      <c r="H20" s="19" t="n">
        <f aca="false">IF(G20&gt;0,E20/G20,0)</f>
        <v>0.78125</v>
      </c>
      <c r="I20" s="18" t="n">
        <f aca="false">G20*5-E20</f>
        <v>135000</v>
      </c>
      <c r="J20" s="18" t="n">
        <f aca="false">G20*10-E20</f>
        <v>295000</v>
      </c>
      <c r="K20" s="19" t="n">
        <f aca="false">D20*0.82/1000</f>
        <v>3.28</v>
      </c>
      <c r="L20" s="14" t="s">
        <v>44</v>
      </c>
    </row>
    <row r="21" customFormat="false" ht="30" hidden="false" customHeight="true" outlineLevel="0" collapsed="false">
      <c r="A21" s="20"/>
      <c r="B21" s="3" t="s">
        <v>45</v>
      </c>
      <c r="C21" s="20"/>
      <c r="D21" s="21" t="n">
        <f aca="false">SUM(D5:D20)</f>
        <v>127000</v>
      </c>
      <c r="E21" s="22" t="n">
        <f aca="false">SUM(E5:E20)</f>
        <v>1925000</v>
      </c>
      <c r="F21" s="20"/>
      <c r="G21" s="22" t="n">
        <f aca="false">SUM(G5:G20)</f>
        <v>1016000</v>
      </c>
      <c r="H21" s="23" t="n">
        <f aca="false">IF(G21&gt;0,E21/G21,0)</f>
        <v>1.89468503937008</v>
      </c>
      <c r="I21" s="22" t="n">
        <f aca="false">SUM(I5:I20)</f>
        <v>3155000</v>
      </c>
      <c r="J21" s="22" t="n">
        <f aca="false">SUM(J5:J20)</f>
        <v>8235000</v>
      </c>
      <c r="K21" s="21" t="n">
        <f aca="false">SUM(K5:K20)</f>
        <v>104.14</v>
      </c>
      <c r="L21" s="20"/>
    </row>
    <row r="22" customFormat="false" ht="15" hidden="false" customHeight="false" outlineLevel="0" collapsed="false">
      <c r="A22" s="24"/>
      <c r="B22" s="25" t="s">
        <v>46</v>
      </c>
      <c r="C22" s="24"/>
      <c r="D22" s="26" t="n">
        <f aca="false">IF(D21&gt;0,100,0)</f>
        <v>100</v>
      </c>
      <c r="E22" s="26" t="n">
        <f aca="false">IF(E21&gt;0,100,0)</f>
        <v>100</v>
      </c>
      <c r="F22" s="24"/>
      <c r="G22" s="26" t="n">
        <f aca="false">IF(G21&gt;0,100,0)</f>
        <v>100</v>
      </c>
      <c r="H22" s="24"/>
      <c r="I22" s="24"/>
      <c r="J22" s="24"/>
      <c r="K22" s="26" t="n">
        <f aca="false">IF(K21&gt;0,100,0)</f>
        <v>100</v>
      </c>
      <c r="L22" s="24"/>
    </row>
    <row r="24" customFormat="false" ht="25.5" hidden="false" customHeight="true" outlineLevel="0" collapsed="false">
      <c r="A24" s="27" t="s">
        <v>47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customFormat="false" ht="15" hidden="false" customHeight="true" outlineLevel="0" collapsed="false">
      <c r="A25" s="28" t="s">
        <v>48</v>
      </c>
      <c r="B25" s="28"/>
      <c r="C25" s="28"/>
      <c r="D25" s="28"/>
      <c r="E25" s="28"/>
      <c r="F25" s="28"/>
      <c r="G25" s="29" t="n">
        <f aca="false">D21</f>
        <v>127000</v>
      </c>
      <c r="H25" s="29"/>
      <c r="I25" s="29"/>
      <c r="J25" s="29"/>
      <c r="K25" s="24"/>
      <c r="L25" s="24"/>
    </row>
    <row r="26" customFormat="false" ht="15" hidden="false" customHeight="true" outlineLevel="0" collapsed="false">
      <c r="A26" s="28" t="s">
        <v>49</v>
      </c>
      <c r="B26" s="28"/>
      <c r="C26" s="28"/>
      <c r="D26" s="28"/>
      <c r="E26" s="28"/>
      <c r="F26" s="28"/>
      <c r="G26" s="30" t="n">
        <f aca="false">G21</f>
        <v>1016000</v>
      </c>
      <c r="H26" s="30"/>
      <c r="I26" s="30"/>
      <c r="J26" s="30"/>
      <c r="K26" s="24"/>
      <c r="L26" s="24"/>
    </row>
    <row r="27" customFormat="false" ht="15" hidden="false" customHeight="true" outlineLevel="0" collapsed="false">
      <c r="A27" s="28" t="s">
        <v>50</v>
      </c>
      <c r="B27" s="28"/>
      <c r="C27" s="28"/>
      <c r="D27" s="28"/>
      <c r="E27" s="28"/>
      <c r="F27" s="28"/>
      <c r="G27" s="30" t="n">
        <f aca="false">E21</f>
        <v>1925000</v>
      </c>
      <c r="H27" s="30"/>
      <c r="I27" s="30"/>
      <c r="J27" s="30"/>
      <c r="K27" s="24"/>
      <c r="L27" s="24"/>
    </row>
    <row r="28" customFormat="false" ht="15" hidden="false" customHeight="true" outlineLevel="0" collapsed="false">
      <c r="A28" s="28" t="s">
        <v>51</v>
      </c>
      <c r="B28" s="28"/>
      <c r="C28" s="28"/>
      <c r="D28" s="28"/>
      <c r="E28" s="28"/>
      <c r="F28" s="28"/>
      <c r="G28" s="31" t="n">
        <f aca="false">H21</f>
        <v>1.89468503937008</v>
      </c>
      <c r="H28" s="31"/>
      <c r="I28" s="31"/>
      <c r="J28" s="31"/>
      <c r="K28" s="24"/>
      <c r="L28" s="24"/>
    </row>
    <row r="29" customFormat="false" ht="15" hidden="false" customHeight="true" outlineLevel="0" collapsed="false">
      <c r="A29" s="28" t="s">
        <v>52</v>
      </c>
      <c r="B29" s="28"/>
      <c r="C29" s="28"/>
      <c r="D29" s="28"/>
      <c r="E29" s="28"/>
      <c r="F29" s="28"/>
      <c r="G29" s="30" t="n">
        <f aca="false">I21</f>
        <v>3155000</v>
      </c>
      <c r="H29" s="30"/>
      <c r="I29" s="30"/>
      <c r="J29" s="30"/>
      <c r="K29" s="24"/>
      <c r="L29" s="24"/>
    </row>
    <row r="30" customFormat="false" ht="15" hidden="false" customHeight="true" outlineLevel="0" collapsed="false">
      <c r="A30" s="28" t="s">
        <v>53</v>
      </c>
      <c r="B30" s="28"/>
      <c r="C30" s="28"/>
      <c r="D30" s="28"/>
      <c r="E30" s="28"/>
      <c r="F30" s="28"/>
      <c r="G30" s="30" t="n">
        <f aca="false">J21</f>
        <v>8235000</v>
      </c>
      <c r="H30" s="30"/>
      <c r="I30" s="30"/>
      <c r="J30" s="30"/>
      <c r="K30" s="24"/>
      <c r="L30" s="24"/>
    </row>
    <row r="31" customFormat="false" ht="15" hidden="false" customHeight="true" outlineLevel="0" collapsed="false">
      <c r="A31" s="32" t="s">
        <v>54</v>
      </c>
      <c r="B31" s="32"/>
      <c r="C31" s="32"/>
      <c r="D31" s="32"/>
      <c r="E31" s="32"/>
      <c r="F31" s="32"/>
      <c r="G31" s="33" t="n">
        <f aca="false">K21</f>
        <v>104.14</v>
      </c>
      <c r="H31" s="33"/>
      <c r="I31" s="33"/>
      <c r="J31" s="33"/>
      <c r="K31" s="34"/>
      <c r="L31" s="34"/>
    </row>
    <row r="32" customFormat="false" ht="15" hidden="false" customHeight="true" outlineLevel="0" collapsed="false">
      <c r="A32" s="32" t="s">
        <v>55</v>
      </c>
      <c r="B32" s="32"/>
      <c r="C32" s="32"/>
      <c r="D32" s="32"/>
      <c r="E32" s="32"/>
      <c r="F32" s="32"/>
      <c r="G32" s="35" t="n">
        <f aca="false">K21*1000/22</f>
        <v>4733.63636363636</v>
      </c>
      <c r="H32" s="35"/>
      <c r="I32" s="35"/>
      <c r="J32" s="35"/>
      <c r="K32" s="34"/>
      <c r="L32" s="34"/>
    </row>
    <row r="33" customFormat="false" ht="15" hidden="false" customHeight="true" outlineLevel="0" collapsed="false">
      <c r="A33" s="32" t="s">
        <v>56</v>
      </c>
      <c r="B33" s="32"/>
      <c r="C33" s="32"/>
      <c r="D33" s="32"/>
      <c r="E33" s="32"/>
      <c r="F33" s="32"/>
      <c r="G33" s="36" t="n">
        <f aca="false">IF(500000&gt;0,D21/500000*100,0)</f>
        <v>25.4</v>
      </c>
      <c r="H33" s="36"/>
      <c r="I33" s="36"/>
      <c r="J33" s="36"/>
      <c r="K33" s="34"/>
      <c r="L33" s="34"/>
    </row>
    <row r="34" customFormat="false" ht="15" hidden="false" customHeight="true" outlineLevel="0" collapsed="false">
      <c r="A34" s="32" t="s">
        <v>57</v>
      </c>
      <c r="B34" s="32"/>
      <c r="C34" s="32"/>
      <c r="D34" s="32"/>
      <c r="E34" s="32"/>
      <c r="F34" s="32"/>
      <c r="G34" s="37" t="str">
        <f aca="false">INDEX(B5:B20,MATCH(MAX(D5:D20),D5:D20,0))</f>
        <v>Replace all FTLs with LED lights</v>
      </c>
      <c r="H34" s="37"/>
      <c r="I34" s="37"/>
      <c r="J34" s="37"/>
      <c r="K34" s="34"/>
      <c r="L34" s="34"/>
    </row>
    <row r="35" customFormat="false" ht="15" hidden="false" customHeight="true" outlineLevel="0" collapsed="false">
      <c r="A35" s="32" t="s">
        <v>58</v>
      </c>
      <c r="B35" s="32"/>
      <c r="C35" s="32"/>
      <c r="D35" s="32"/>
      <c r="E35" s="32"/>
      <c r="F35" s="32"/>
      <c r="G35" s="37" t="str">
        <f aca="false">INDEX(B5:B20,MATCH(MIN(H5:H20),H5:H20,0))</f>
        <v>Install low-flow showerheads in hostels</v>
      </c>
      <c r="H35" s="37"/>
      <c r="I35" s="37"/>
      <c r="J35" s="37"/>
      <c r="K35" s="34"/>
      <c r="L35" s="34"/>
    </row>
  </sheetData>
  <mergeCells count="25">
    <mergeCell ref="A1:L1"/>
    <mergeCell ref="A2:L2"/>
    <mergeCell ref="A24:L24"/>
    <mergeCell ref="A25:F25"/>
    <mergeCell ref="G25:J25"/>
    <mergeCell ref="A26:F26"/>
    <mergeCell ref="G26:J26"/>
    <mergeCell ref="A27:F27"/>
    <mergeCell ref="G27:J27"/>
    <mergeCell ref="A28:F28"/>
    <mergeCell ref="G28:J28"/>
    <mergeCell ref="A29:F29"/>
    <mergeCell ref="G29:J29"/>
    <mergeCell ref="A30:F30"/>
    <mergeCell ref="G30:J30"/>
    <mergeCell ref="A31:F31"/>
    <mergeCell ref="G31:J31"/>
    <mergeCell ref="A32:F32"/>
    <mergeCell ref="G32:J32"/>
    <mergeCell ref="A33:F33"/>
    <mergeCell ref="G33:J33"/>
    <mergeCell ref="A34:F34"/>
    <mergeCell ref="G34:J34"/>
    <mergeCell ref="A35:F35"/>
    <mergeCell ref="G35:J35"/>
  </mergeCells>
  <conditionalFormatting sqref="H5:H20">
    <cfRule type="dataBar" priority="2">
      <dataBar showValue="1" minLength="10" maxLength="90">
        <cfvo type="min" val="0"/>
        <cfvo type="max" val="0"/>
        <color rgb="FFFF6F00"/>
      </dataBar>
      <extLst>
        <ext xmlns:x14="http://schemas.microsoft.com/office/spreadsheetml/2009/9/main" uri="{B025F937-C7B1-47D3-B67F-A62EFF666E3E}">
          <x14:id>{A8ABB2B0-6C8B-40C7-977E-249657EFA03B}</x14:id>
        </ext>
      </extLst>
    </cfRule>
  </conditionalFormatting>
  <conditionalFormatting sqref="I5:I20">
    <cfRule type="cellIs" priority="3" operator="greaterThan" aboveAverage="0" equalAverage="0" bottom="0" percent="0" rank="0" text="" dxfId="0">
      <formula>0</formula>
    </cfRule>
    <cfRule type="cellIs" priority="4" operator="less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ABB2B0-6C8B-40C7-977E-249657EFA03B}">
            <x14:dataBar minLength="10" maxLength="90" axisPosition="none" gradient="true">
              <x14:cfvo type="min"/>
              <x14:cfvo type="max"/>
              <x14:negativeFillColor rgb="FFFF6F00"/>
              <x14:axisColor rgb="FF000000"/>
            </x14:dataBar>
          </x14:cfRule>
          <xm:sqref>H5:H20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38F"/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7" min="4" style="0" width="22"/>
    <col collapsed="false" customWidth="true" hidden="false" outlineLevel="0" max="9" min="8" style="0" width="20"/>
  </cols>
  <sheetData>
    <row r="1" customFormat="false" ht="37.5" hidden="false" customHeight="true" outlineLevel="0" collapsed="false">
      <c r="A1" s="38" t="s">
        <v>59</v>
      </c>
      <c r="B1" s="38"/>
      <c r="C1" s="38"/>
      <c r="D1" s="38"/>
      <c r="E1" s="38"/>
      <c r="F1" s="38"/>
      <c r="G1" s="38"/>
      <c r="H1" s="38"/>
      <c r="I1" s="38"/>
    </row>
    <row r="2" customFormat="false" ht="25.5" hidden="false" customHeight="true" outlineLevel="0" collapsed="false">
      <c r="A2" s="39" t="s">
        <v>60</v>
      </c>
      <c r="B2" s="39"/>
      <c r="C2" s="39"/>
      <c r="D2" s="39"/>
      <c r="E2" s="39"/>
      <c r="F2" s="39"/>
      <c r="G2" s="39"/>
      <c r="H2" s="39"/>
      <c r="I2" s="39"/>
    </row>
    <row r="4" customFormat="false" ht="39.75" hidden="false" customHeight="true" outlineLevel="0" collapsed="false">
      <c r="A4" s="40" t="s">
        <v>61</v>
      </c>
      <c r="B4" s="40" t="s">
        <v>4</v>
      </c>
      <c r="C4" s="40" t="s">
        <v>62</v>
      </c>
      <c r="D4" s="40" t="s">
        <v>63</v>
      </c>
      <c r="E4" s="40" t="s">
        <v>64</v>
      </c>
      <c r="F4" s="40" t="s">
        <v>65</v>
      </c>
      <c r="G4" s="40" t="s">
        <v>66</v>
      </c>
      <c r="H4" s="40" t="s">
        <v>67</v>
      </c>
      <c r="I4" s="40" t="s">
        <v>12</v>
      </c>
    </row>
    <row r="5" customFormat="false" ht="15" hidden="false" customHeight="false" outlineLevel="0" collapsed="false">
      <c r="A5" s="4" t="n">
        <v>1</v>
      </c>
      <c r="B5" s="5" t="s">
        <v>15</v>
      </c>
      <c r="C5" s="4" t="n">
        <f aca="false">COUNTIF('1. Master Dashboard'!C5:C20,B5)</f>
        <v>8</v>
      </c>
      <c r="D5" s="41" t="n">
        <f aca="false">SUMIF('1. Master Dashboard'!C5:C20,B5,'1. Master Dashboard'!D5:D20)</f>
        <v>91500</v>
      </c>
      <c r="E5" s="10" t="n">
        <f aca="false">SUMIF('1. Master Dashboard'!C5:C20,B5,'1. Master Dashboard'!E5:E20)</f>
        <v>1530000</v>
      </c>
      <c r="F5" s="10" t="n">
        <f aca="false">SUMIF('1. Master Dashboard'!C5:C20,B5,'1. Master Dashboard'!G5:G20)</f>
        <v>732000</v>
      </c>
      <c r="G5" s="11" t="n">
        <f aca="false">IF(F5&gt;0,E5/F5,0)</f>
        <v>2.09016393442623</v>
      </c>
      <c r="H5" s="42" t="n">
        <f aca="false">IF(D$10&gt;0,D5/D$10*100,0)</f>
        <v>72.0472440944882</v>
      </c>
      <c r="I5" s="11" t="n">
        <f aca="false">D5*0.82/1000</f>
        <v>75.03</v>
      </c>
    </row>
    <row r="6" customFormat="false" ht="15" hidden="false" customHeight="false" outlineLevel="0" collapsed="false">
      <c r="A6" s="12" t="n">
        <v>2</v>
      </c>
      <c r="B6" s="13" t="s">
        <v>20</v>
      </c>
      <c r="C6" s="12" t="n">
        <f aca="false">COUNTIF('1. Master Dashboard'!C5:C20,B6)</f>
        <v>3</v>
      </c>
      <c r="D6" s="43" t="n">
        <f aca="false">SUMIF('1. Master Dashboard'!C5:C20,B6,'1. Master Dashboard'!D5:D20)</f>
        <v>21000</v>
      </c>
      <c r="E6" s="18" t="n">
        <f aca="false">SUMIF('1. Master Dashboard'!C5:C20,B6,'1. Master Dashboard'!E5:E20)</f>
        <v>270000</v>
      </c>
      <c r="F6" s="18" t="n">
        <f aca="false">SUMIF('1. Master Dashboard'!C5:C20,B6,'1. Master Dashboard'!G5:G20)</f>
        <v>168000</v>
      </c>
      <c r="G6" s="19" t="n">
        <f aca="false">IF(F6&gt;0,E6/F6,0)</f>
        <v>1.60714285714286</v>
      </c>
      <c r="H6" s="44" t="n">
        <f aca="false">IF(D$10&gt;0,D6/D$10*100,0)</f>
        <v>16.5354330708661</v>
      </c>
      <c r="I6" s="19" t="n">
        <f aca="false">D6*0.82/1000</f>
        <v>17.22</v>
      </c>
    </row>
    <row r="7" customFormat="false" ht="15" hidden="false" customHeight="false" outlineLevel="0" collapsed="false">
      <c r="A7" s="4" t="n">
        <v>3</v>
      </c>
      <c r="B7" s="5" t="s">
        <v>29</v>
      </c>
      <c r="C7" s="4" t="n">
        <f aca="false">COUNTIF('1. Master Dashboard'!C5:C20,B7)</f>
        <v>1</v>
      </c>
      <c r="D7" s="41" t="n">
        <f aca="false">SUMIF('1. Master Dashboard'!C5:C20,B7,'1. Master Dashboard'!D5:D20)</f>
        <v>3000</v>
      </c>
      <c r="E7" s="10" t="n">
        <f aca="false">SUMIF('1. Master Dashboard'!C5:C20,B7,'1. Master Dashboard'!E5:E20)</f>
        <v>20000</v>
      </c>
      <c r="F7" s="10" t="n">
        <f aca="false">SUMIF('1. Master Dashboard'!C5:C20,B7,'1. Master Dashboard'!G5:G20)</f>
        <v>24000</v>
      </c>
      <c r="G7" s="11" t="n">
        <f aca="false">IF(F7&gt;0,E7/F7,0)</f>
        <v>0.833333333333333</v>
      </c>
      <c r="H7" s="42" t="n">
        <f aca="false">IF(D$10&gt;0,D7/D$10*100,0)</f>
        <v>2.36220472440945</v>
      </c>
      <c r="I7" s="11" t="n">
        <f aca="false">D7*0.82/1000</f>
        <v>2.46</v>
      </c>
    </row>
    <row r="8" customFormat="false" ht="15" hidden="false" customHeight="false" outlineLevel="0" collapsed="false">
      <c r="A8" s="12" t="n">
        <v>4</v>
      </c>
      <c r="B8" s="13" t="s">
        <v>32</v>
      </c>
      <c r="C8" s="12" t="n">
        <f aca="false">COUNTIF('1. Master Dashboard'!C5:C20,B8)</f>
        <v>2</v>
      </c>
      <c r="D8" s="43" t="n">
        <f aca="false">SUMIF('1. Master Dashboard'!C5:C20,B8,'1. Master Dashboard'!D5:D20)</f>
        <v>5500</v>
      </c>
      <c r="E8" s="18" t="n">
        <f aca="false">SUMIF('1. Master Dashboard'!C5:C20,B8,'1. Master Dashboard'!E5:E20)</f>
        <v>55000</v>
      </c>
      <c r="F8" s="18" t="n">
        <f aca="false">SUMIF('1. Master Dashboard'!C5:C20,B8,'1. Master Dashboard'!G5:G20)</f>
        <v>44000</v>
      </c>
      <c r="G8" s="19" t="n">
        <f aca="false">IF(F8&gt;0,E8/F8,0)</f>
        <v>1.25</v>
      </c>
      <c r="H8" s="44" t="n">
        <f aca="false">IF(D$10&gt;0,D8/D$10*100,0)</f>
        <v>4.33070866141732</v>
      </c>
      <c r="I8" s="19" t="n">
        <f aca="false">D8*0.82/1000</f>
        <v>4.51</v>
      </c>
    </row>
    <row r="9" customFormat="false" ht="15" hidden="false" customHeight="false" outlineLevel="0" collapsed="false">
      <c r="A9" s="4" t="n">
        <v>5</v>
      </c>
      <c r="B9" s="5" t="s">
        <v>36</v>
      </c>
      <c r="C9" s="4" t="n">
        <f aca="false">COUNTIF('1. Master Dashboard'!C5:C20,B9)</f>
        <v>2</v>
      </c>
      <c r="D9" s="41" t="n">
        <f aca="false">SUMIF('1. Master Dashboard'!C5:C20,B9,'1. Master Dashboard'!D5:D20)</f>
        <v>6000</v>
      </c>
      <c r="E9" s="10" t="n">
        <f aca="false">SUMIF('1. Master Dashboard'!C5:C20,B9,'1. Master Dashboard'!E5:E20)</f>
        <v>50000</v>
      </c>
      <c r="F9" s="10" t="n">
        <f aca="false">SUMIF('1. Master Dashboard'!C5:C20,B9,'1. Master Dashboard'!G5:G20)</f>
        <v>48000</v>
      </c>
      <c r="G9" s="11" t="n">
        <f aca="false">IF(F9&gt;0,E9/F9,0)</f>
        <v>1.04166666666667</v>
      </c>
      <c r="H9" s="42" t="n">
        <f aca="false">IF(D$10&gt;0,D9/D$10*100,0)</f>
        <v>4.7244094488189</v>
      </c>
      <c r="I9" s="11" t="n">
        <f aca="false">D9*0.82/1000</f>
        <v>4.92</v>
      </c>
    </row>
    <row r="10" customFormat="false" ht="15" hidden="false" customHeight="false" outlineLevel="0" collapsed="false">
      <c r="A10" s="45"/>
      <c r="B10" s="40" t="s">
        <v>68</v>
      </c>
      <c r="C10" s="46" t="n">
        <f aca="false">SUM(C5:C9)</f>
        <v>16</v>
      </c>
      <c r="D10" s="46" t="n">
        <f aca="false">SUM(D5:D9)</f>
        <v>127000</v>
      </c>
      <c r="E10" s="47" t="n">
        <f aca="false">SUM(E5:E9)</f>
        <v>1925000</v>
      </c>
      <c r="F10" s="47" t="n">
        <f aca="false">SUM(F5:F9)</f>
        <v>1016000</v>
      </c>
      <c r="G10" s="48" t="n">
        <f aca="false">IF(F10&gt;0,E10/F10,0)</f>
        <v>1.89468503937008</v>
      </c>
      <c r="H10" s="40" t="s">
        <v>69</v>
      </c>
      <c r="I10" s="46" t="n">
        <f aca="false">SUM(I5:I9)</f>
        <v>104.14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6" min="4" style="0" width="22"/>
    <col collapsed="false" customWidth="true" hidden="false" outlineLevel="0" max="8" min="7" style="0" width="20"/>
  </cols>
  <sheetData>
    <row r="1" customFormat="false" ht="37.5" hidden="false" customHeight="true" outlineLevel="0" collapsed="false">
      <c r="A1" s="49" t="s">
        <v>70</v>
      </c>
      <c r="B1" s="49"/>
      <c r="C1" s="49"/>
      <c r="D1" s="49"/>
      <c r="E1" s="49"/>
      <c r="F1" s="49"/>
      <c r="G1" s="49"/>
      <c r="H1" s="49"/>
    </row>
    <row r="2" customFormat="false" ht="25.5" hidden="false" customHeight="true" outlineLevel="0" collapsed="false">
      <c r="A2" s="50" t="s">
        <v>71</v>
      </c>
      <c r="B2" s="50"/>
      <c r="C2" s="50"/>
      <c r="D2" s="50"/>
      <c r="E2" s="50"/>
      <c r="F2" s="50"/>
      <c r="G2" s="50"/>
      <c r="H2" s="50"/>
    </row>
    <row r="4" customFormat="false" ht="39.75" hidden="false" customHeight="true" outlineLevel="0" collapsed="false">
      <c r="A4" s="51" t="s">
        <v>61</v>
      </c>
      <c r="B4" s="51" t="s">
        <v>13</v>
      </c>
      <c r="C4" s="51" t="s">
        <v>62</v>
      </c>
      <c r="D4" s="51" t="s">
        <v>63</v>
      </c>
      <c r="E4" s="51" t="s">
        <v>64</v>
      </c>
      <c r="F4" s="51" t="s">
        <v>8</v>
      </c>
      <c r="G4" s="51" t="s">
        <v>66</v>
      </c>
      <c r="H4" s="51" t="s">
        <v>46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n">
        <f aca="false">COUNTIF('1. Master Dashboard'!L5:L20,B5)</f>
        <v>3</v>
      </c>
      <c r="D5" s="41" t="n">
        <f aca="false">SUMIF('1. Master Dashboard'!L5:L20,B5,'1. Master Dashboard'!D5:D20)</f>
        <v>30000</v>
      </c>
      <c r="E5" s="10" t="n">
        <f aca="false">SUMIF('1. Master Dashboard'!L5:L20,B5,'1. Master Dashboard'!E5:E20)</f>
        <v>590000</v>
      </c>
      <c r="F5" s="10" t="n">
        <f aca="false">SUMIF('1. Master Dashboard'!L5:L20,B5,'1. Master Dashboard'!G5:G20)</f>
        <v>240000</v>
      </c>
      <c r="G5" s="11" t="n">
        <f aca="false">IF(F5&gt;0,E5/F5,0)</f>
        <v>2.45833333333333</v>
      </c>
      <c r="H5" s="42" t="n">
        <f aca="false">IF(D$15&gt;0,D5/D$15*100,0)</f>
        <v>23.6220472440945</v>
      </c>
    </row>
    <row r="6" customFormat="false" ht="15" hidden="false" customHeight="false" outlineLevel="0" collapsed="false">
      <c r="A6" s="12" t="n">
        <v>2</v>
      </c>
      <c r="B6" s="13" t="s">
        <v>18</v>
      </c>
      <c r="C6" s="12" t="n">
        <f aca="false">COUNTIF('1. Master Dashboard'!L5:L20,B6)</f>
        <v>3</v>
      </c>
      <c r="D6" s="43" t="n">
        <f aca="false">SUMIF('1. Master Dashboard'!L5:L20,B6,'1. Master Dashboard'!D5:D20)</f>
        <v>47000</v>
      </c>
      <c r="E6" s="18" t="n">
        <f aca="false">SUMIF('1. Master Dashboard'!L5:L20,B6,'1. Master Dashboard'!E5:E20)</f>
        <v>550000</v>
      </c>
      <c r="F6" s="18" t="n">
        <f aca="false">SUMIF('1. Master Dashboard'!L5:L20,B6,'1. Master Dashboard'!G5:G20)</f>
        <v>376000</v>
      </c>
      <c r="G6" s="19" t="n">
        <f aca="false">IF(F6&gt;0,E6/F6,0)</f>
        <v>1.46276595744681</v>
      </c>
      <c r="H6" s="44" t="n">
        <f aca="false">IF(D$15&gt;0,D6/D$15*100,0)</f>
        <v>37.007874015748</v>
      </c>
    </row>
    <row r="7" customFormat="false" ht="15" hidden="false" customHeight="false" outlineLevel="0" collapsed="false">
      <c r="A7" s="4" t="n">
        <v>3</v>
      </c>
      <c r="B7" s="5" t="s">
        <v>21</v>
      </c>
      <c r="C7" s="4" t="n">
        <f aca="false">COUNTIF('1. Master Dashboard'!L5:L20,B7)</f>
        <v>2</v>
      </c>
      <c r="D7" s="41" t="n">
        <f aca="false">SUMIF('1. Master Dashboard'!L5:L20,B7,'1. Master Dashboard'!D5:D20)</f>
        <v>14000</v>
      </c>
      <c r="E7" s="10" t="n">
        <f aca="false">SUMIF('1. Master Dashboard'!L5:L20,B7,'1. Master Dashboard'!E5:E20)</f>
        <v>200000</v>
      </c>
      <c r="F7" s="10" t="n">
        <f aca="false">SUMIF('1. Master Dashboard'!L5:L20,B7,'1. Master Dashboard'!G5:G20)</f>
        <v>112000</v>
      </c>
      <c r="G7" s="11" t="n">
        <f aca="false">IF(F7&gt;0,E7/F7,0)</f>
        <v>1.78571428571429</v>
      </c>
      <c r="H7" s="42" t="n">
        <f aca="false">IF(D$15&gt;0,D7/D$15*100,0)</f>
        <v>11.0236220472441</v>
      </c>
    </row>
    <row r="8" customFormat="false" ht="15" hidden="false" customHeight="false" outlineLevel="0" collapsed="false">
      <c r="A8" s="12" t="n">
        <v>4</v>
      </c>
      <c r="B8" s="13" t="s">
        <v>24</v>
      </c>
      <c r="C8" s="12" t="n">
        <f aca="false">COUNTIF('1. Master Dashboard'!L5:L20,B8)</f>
        <v>2</v>
      </c>
      <c r="D8" s="43" t="n">
        <f aca="false">SUMIF('1. Master Dashboard'!L5:L20,B8,'1. Master Dashboard'!D5:D20)</f>
        <v>14000</v>
      </c>
      <c r="E8" s="18" t="n">
        <f aca="false">SUMIF('1. Master Dashboard'!L5:L20,B8,'1. Master Dashboard'!E5:E20)</f>
        <v>200000</v>
      </c>
      <c r="F8" s="18" t="n">
        <f aca="false">SUMIF('1. Master Dashboard'!L5:L20,B8,'1. Master Dashboard'!G5:G20)</f>
        <v>112000</v>
      </c>
      <c r="G8" s="19" t="n">
        <f aca="false">IF(F8&gt;0,E8/F8,0)</f>
        <v>1.78571428571429</v>
      </c>
      <c r="H8" s="44" t="n">
        <f aca="false">IF(D$15&gt;0,D8/D$15*100,0)</f>
        <v>11.0236220472441</v>
      </c>
    </row>
    <row r="9" customFormat="false" ht="15" hidden="false" customHeight="false" outlineLevel="0" collapsed="false">
      <c r="A9" s="4" t="n">
        <v>5</v>
      </c>
      <c r="B9" s="5" t="s">
        <v>27</v>
      </c>
      <c r="C9" s="4" t="n">
        <f aca="false">COUNTIF('1. Master Dashboard'!L5:L20,B9)</f>
        <v>1</v>
      </c>
      <c r="D9" s="41" t="n">
        <f aca="false">SUMIF('1. Master Dashboard'!L5:L20,B9,'1. Master Dashboard'!D5:D20)</f>
        <v>8000</v>
      </c>
      <c r="E9" s="10" t="n">
        <f aca="false">SUMIF('1. Master Dashboard'!L5:L20,B9,'1. Master Dashboard'!E5:E20)</f>
        <v>250000</v>
      </c>
      <c r="F9" s="10" t="n">
        <f aca="false">SUMIF('1. Master Dashboard'!L5:L20,B9,'1. Master Dashboard'!G5:G20)</f>
        <v>64000</v>
      </c>
      <c r="G9" s="11" t="n">
        <f aca="false">IF(F9&gt;0,E9/F9,0)</f>
        <v>3.90625</v>
      </c>
      <c r="H9" s="42" t="n">
        <f aca="false">IF(D$15&gt;0,D9/D$15*100,0)</f>
        <v>6.2992125984252</v>
      </c>
    </row>
    <row r="10" customFormat="false" ht="15" hidden="false" customHeight="false" outlineLevel="0" collapsed="false">
      <c r="A10" s="12" t="n">
        <v>6</v>
      </c>
      <c r="B10" s="13" t="s">
        <v>33</v>
      </c>
      <c r="C10" s="12" t="n">
        <f aca="false">COUNTIF('1. Master Dashboard'!L5:L20,B10)</f>
        <v>1</v>
      </c>
      <c r="D10" s="43" t="n">
        <f aca="false">SUMIF('1. Master Dashboard'!L5:L20,B10,'1. Master Dashboard'!D5:D20)</f>
        <v>1500</v>
      </c>
      <c r="E10" s="18" t="n">
        <f aca="false">SUMIF('1. Master Dashboard'!L5:L20,B10,'1. Master Dashboard'!E5:E20)</f>
        <v>30000</v>
      </c>
      <c r="F10" s="18" t="n">
        <f aca="false">SUMIF('1. Master Dashboard'!L5:L20,B10,'1. Master Dashboard'!G5:G20)</f>
        <v>12000</v>
      </c>
      <c r="G10" s="19" t="n">
        <f aca="false">IF(F10&gt;0,E10/F10,0)</f>
        <v>2.5</v>
      </c>
      <c r="H10" s="44" t="n">
        <f aca="false">IF(D$15&gt;0,D10/D$15*100,0)</f>
        <v>1.18110236220472</v>
      </c>
    </row>
    <row r="11" customFormat="false" ht="15" hidden="false" customHeight="false" outlineLevel="0" collapsed="false">
      <c r="A11" s="4" t="n">
        <v>7</v>
      </c>
      <c r="B11" s="5" t="s">
        <v>37</v>
      </c>
      <c r="C11" s="4" t="n">
        <f aca="false">COUNTIF('1. Master Dashboard'!L5:L20,B11)</f>
        <v>1</v>
      </c>
      <c r="D11" s="41" t="n">
        <f aca="false">SUMIF('1. Master Dashboard'!L5:L20,B11,'1. Master Dashboard'!D5:D20)</f>
        <v>1000</v>
      </c>
      <c r="E11" s="10" t="n">
        <f aca="false">SUMIF('1. Master Dashboard'!L5:L20,B11,'1. Master Dashboard'!E5:E20)</f>
        <v>10000</v>
      </c>
      <c r="F11" s="10" t="n">
        <f aca="false">SUMIF('1. Master Dashboard'!L5:L20,B11,'1. Master Dashboard'!G5:G20)</f>
        <v>8000</v>
      </c>
      <c r="G11" s="11" t="n">
        <f aca="false">IF(F11&gt;0,E11/F11,0)</f>
        <v>1.25</v>
      </c>
      <c r="H11" s="42" t="n">
        <f aca="false">IF(D$15&gt;0,D11/D$15*100,0)</f>
        <v>0.78740157480315</v>
      </c>
    </row>
    <row r="12" customFormat="false" ht="15" hidden="false" customHeight="false" outlineLevel="0" collapsed="false">
      <c r="A12" s="12" t="n">
        <v>8</v>
      </c>
      <c r="B12" s="13" t="s">
        <v>40</v>
      </c>
      <c r="C12" s="12" t="n">
        <f aca="false">COUNTIF('1. Master Dashboard'!L5:L20,B12)</f>
        <v>1</v>
      </c>
      <c r="D12" s="43" t="n">
        <f aca="false">SUMIF('1. Master Dashboard'!L5:L20,B12,'1. Master Dashboard'!D5:D20)</f>
        <v>5000</v>
      </c>
      <c r="E12" s="18" t="n">
        <f aca="false">SUMIF('1. Master Dashboard'!L5:L20,B12,'1. Master Dashboard'!E5:E20)</f>
        <v>40000</v>
      </c>
      <c r="F12" s="18" t="n">
        <f aca="false">SUMIF('1. Master Dashboard'!L5:L20,B12,'1. Master Dashboard'!G5:G20)</f>
        <v>40000</v>
      </c>
      <c r="G12" s="19" t="n">
        <f aca="false">IF(F12&gt;0,E12/F12,0)</f>
        <v>1</v>
      </c>
      <c r="H12" s="44" t="n">
        <f aca="false">IF(D$15&gt;0,D12/D$15*100,0)</f>
        <v>3.93700787401575</v>
      </c>
    </row>
    <row r="13" customFormat="false" ht="15" hidden="false" customHeight="false" outlineLevel="0" collapsed="false">
      <c r="A13" s="4" t="n">
        <v>9</v>
      </c>
      <c r="B13" s="5" t="s">
        <v>42</v>
      </c>
      <c r="C13" s="4" t="n">
        <f aca="false">COUNTIF('1. Master Dashboard'!L5:L20,B13)</f>
        <v>1</v>
      </c>
      <c r="D13" s="41" t="n">
        <f aca="false">SUMIF('1. Master Dashboard'!L5:L20,B13,'1. Master Dashboard'!D5:D20)</f>
        <v>2500</v>
      </c>
      <c r="E13" s="10" t="n">
        <f aca="false">SUMIF('1. Master Dashboard'!L5:L20,B13,'1. Master Dashboard'!E5:E20)</f>
        <v>30000</v>
      </c>
      <c r="F13" s="10" t="n">
        <f aca="false">SUMIF('1. Master Dashboard'!L5:L20,B13,'1. Master Dashboard'!G5:G20)</f>
        <v>20000</v>
      </c>
      <c r="G13" s="11" t="n">
        <f aca="false">IF(F13&gt;0,E13/F13,0)</f>
        <v>1.5</v>
      </c>
      <c r="H13" s="42" t="n">
        <f aca="false">IF(D$15&gt;0,D13/D$15*100,0)</f>
        <v>1.96850393700787</v>
      </c>
    </row>
    <row r="14" customFormat="false" ht="15" hidden="false" customHeight="false" outlineLevel="0" collapsed="false">
      <c r="A14" s="12" t="n">
        <v>10</v>
      </c>
      <c r="B14" s="13" t="s">
        <v>44</v>
      </c>
      <c r="C14" s="12" t="n">
        <f aca="false">COUNTIF('1. Master Dashboard'!L5:L20,B14)</f>
        <v>1</v>
      </c>
      <c r="D14" s="43" t="n">
        <f aca="false">SUMIF('1. Master Dashboard'!L5:L20,B14,'1. Master Dashboard'!D5:D20)</f>
        <v>4000</v>
      </c>
      <c r="E14" s="18" t="n">
        <f aca="false">SUMIF('1. Master Dashboard'!L5:L20,B14,'1. Master Dashboard'!E5:E20)</f>
        <v>25000</v>
      </c>
      <c r="F14" s="18" t="n">
        <f aca="false">SUMIF('1. Master Dashboard'!L5:L20,B14,'1. Master Dashboard'!G5:G20)</f>
        <v>32000</v>
      </c>
      <c r="G14" s="19" t="n">
        <f aca="false">IF(F14&gt;0,E14/F14,0)</f>
        <v>0.78125</v>
      </c>
      <c r="H14" s="44" t="n">
        <f aca="false">IF(D$15&gt;0,D14/D$15*100,0)</f>
        <v>3.1496062992126</v>
      </c>
    </row>
    <row r="15" customFormat="false" ht="15" hidden="false" customHeight="false" outlineLevel="0" collapsed="false">
      <c r="A15" s="52"/>
      <c r="B15" s="51" t="s">
        <v>68</v>
      </c>
      <c r="C15" s="53" t="n">
        <f aca="false">SUM(C5:C14)</f>
        <v>16</v>
      </c>
      <c r="D15" s="53" t="n">
        <f aca="false">SUM(D5:D14)</f>
        <v>127000</v>
      </c>
      <c r="E15" s="54" t="n">
        <f aca="false">SUM(E5:E14)</f>
        <v>1925000</v>
      </c>
      <c r="F15" s="54" t="n">
        <f aca="false">SUM(F5:F14)</f>
        <v>1016000</v>
      </c>
      <c r="G15" s="55" t="n">
        <f aca="false">IF(F15&gt;0,E15/F15,0)</f>
        <v>1.89468503937008</v>
      </c>
      <c r="H15" s="51" t="s">
        <v>69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00"/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10" min="7" style="0" width="16"/>
    <col collapsed="false" customWidth="true" hidden="false" outlineLevel="0" max="11" min="11" style="0" width="22"/>
  </cols>
  <sheetData>
    <row r="1" customFormat="false" ht="37.5" hidden="false" customHeight="true" outlineLevel="0" collapsed="false">
      <c r="A1" s="56" t="s">
        <v>72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customFormat="false" ht="25.5" hidden="false" customHeight="true" outlineLevel="0" collapsed="false">
      <c r="A2" s="57" t="s">
        <v>73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4" customFormat="false" ht="39.75" hidden="false" customHeight="true" outlineLevel="0" collapsed="false">
      <c r="A4" s="58" t="s">
        <v>61</v>
      </c>
      <c r="B4" s="58" t="s">
        <v>3</v>
      </c>
      <c r="C4" s="58" t="s">
        <v>74</v>
      </c>
      <c r="D4" s="58" t="s">
        <v>75</v>
      </c>
      <c r="E4" s="58" t="s">
        <v>76</v>
      </c>
      <c r="F4" s="58" t="s">
        <v>77</v>
      </c>
      <c r="G4" s="58" t="s">
        <v>6</v>
      </c>
      <c r="H4" s="58" t="s">
        <v>78</v>
      </c>
      <c r="I4" s="58" t="s">
        <v>79</v>
      </c>
      <c r="J4" s="58" t="s">
        <v>80</v>
      </c>
      <c r="K4" s="58" t="s">
        <v>81</v>
      </c>
    </row>
    <row r="5" customFormat="false" ht="23.85" hidden="false" customHeight="false" outlineLevel="0" collapsed="false">
      <c r="A5" s="4" t="n">
        <v>1</v>
      </c>
      <c r="B5" s="5" t="s">
        <v>14</v>
      </c>
      <c r="C5" s="4" t="s">
        <v>82</v>
      </c>
      <c r="D5" s="4" t="s">
        <v>83</v>
      </c>
      <c r="E5" s="59"/>
      <c r="F5" s="59"/>
      <c r="G5" s="8" t="n">
        <v>500000</v>
      </c>
      <c r="H5" s="8"/>
      <c r="I5" s="60"/>
      <c r="J5" s="61"/>
      <c r="K5" s="62"/>
    </row>
    <row r="6" customFormat="false" ht="23.85" hidden="false" customHeight="false" outlineLevel="0" collapsed="false">
      <c r="A6" s="12" t="n">
        <v>2</v>
      </c>
      <c r="B6" s="13" t="s">
        <v>17</v>
      </c>
      <c r="C6" s="12" t="s">
        <v>82</v>
      </c>
      <c r="D6" s="12" t="s">
        <v>84</v>
      </c>
      <c r="E6" s="63"/>
      <c r="F6" s="63"/>
      <c r="G6" s="16" t="n">
        <v>100000</v>
      </c>
      <c r="H6" s="16"/>
      <c r="I6" s="64"/>
      <c r="J6" s="65"/>
      <c r="K6" s="66"/>
    </row>
    <row r="7" customFormat="false" ht="15" hidden="false" customHeight="false" outlineLevel="0" collapsed="false">
      <c r="A7" s="4" t="n">
        <v>3</v>
      </c>
      <c r="B7" s="5" t="s">
        <v>19</v>
      </c>
      <c r="C7" s="4" t="s">
        <v>85</v>
      </c>
      <c r="D7" s="4" t="s">
        <v>83</v>
      </c>
      <c r="E7" s="59"/>
      <c r="F7" s="59"/>
      <c r="G7" s="8" t="n">
        <v>150000</v>
      </c>
      <c r="H7" s="8"/>
      <c r="I7" s="60"/>
      <c r="J7" s="61"/>
      <c r="K7" s="62"/>
    </row>
    <row r="8" customFormat="false" ht="15" hidden="false" customHeight="false" outlineLevel="0" collapsed="false">
      <c r="A8" s="12" t="n">
        <v>4</v>
      </c>
      <c r="B8" s="13" t="s">
        <v>22</v>
      </c>
      <c r="C8" s="12" t="s">
        <v>85</v>
      </c>
      <c r="D8" s="12" t="s">
        <v>83</v>
      </c>
      <c r="E8" s="63"/>
      <c r="F8" s="63"/>
      <c r="G8" s="16" t="n">
        <v>400000</v>
      </c>
      <c r="H8" s="16"/>
      <c r="I8" s="64"/>
      <c r="J8" s="65"/>
      <c r="K8" s="66"/>
    </row>
    <row r="9" customFormat="false" ht="23.85" hidden="false" customHeight="false" outlineLevel="0" collapsed="false">
      <c r="A9" s="4" t="n">
        <v>5</v>
      </c>
      <c r="B9" s="5" t="s">
        <v>23</v>
      </c>
      <c r="C9" s="4" t="s">
        <v>82</v>
      </c>
      <c r="D9" s="4" t="s">
        <v>84</v>
      </c>
      <c r="E9" s="59"/>
      <c r="F9" s="59"/>
      <c r="G9" s="8" t="n">
        <v>80000</v>
      </c>
      <c r="H9" s="8"/>
      <c r="I9" s="60"/>
      <c r="J9" s="61"/>
      <c r="K9" s="62"/>
    </row>
    <row r="10" customFormat="false" ht="23.85" hidden="false" customHeight="false" outlineLevel="0" collapsed="false">
      <c r="A10" s="12" t="n">
        <v>6</v>
      </c>
      <c r="B10" s="13" t="s">
        <v>25</v>
      </c>
      <c r="C10" s="12" t="s">
        <v>82</v>
      </c>
      <c r="D10" s="12" t="s">
        <v>84</v>
      </c>
      <c r="E10" s="63"/>
      <c r="F10" s="63"/>
      <c r="G10" s="16" t="n">
        <v>120000</v>
      </c>
      <c r="H10" s="16"/>
      <c r="I10" s="64"/>
      <c r="J10" s="65"/>
      <c r="K10" s="66"/>
    </row>
    <row r="11" customFormat="false" ht="23.85" hidden="false" customHeight="false" outlineLevel="0" collapsed="false">
      <c r="A11" s="4" t="n">
        <v>7</v>
      </c>
      <c r="B11" s="5" t="s">
        <v>26</v>
      </c>
      <c r="C11" s="4" t="s">
        <v>86</v>
      </c>
      <c r="D11" s="4" t="s">
        <v>83</v>
      </c>
      <c r="E11" s="59"/>
      <c r="F11" s="59"/>
      <c r="G11" s="8" t="n">
        <v>250000</v>
      </c>
      <c r="H11" s="8"/>
      <c r="I11" s="60"/>
      <c r="J11" s="61"/>
      <c r="K11" s="62"/>
    </row>
    <row r="12" customFormat="false" ht="15" hidden="false" customHeight="false" outlineLevel="0" collapsed="false">
      <c r="A12" s="12" t="n">
        <v>8</v>
      </c>
      <c r="B12" s="13" t="s">
        <v>28</v>
      </c>
      <c r="C12" s="12" t="s">
        <v>82</v>
      </c>
      <c r="D12" s="12" t="s">
        <v>83</v>
      </c>
      <c r="E12" s="63"/>
      <c r="F12" s="63"/>
      <c r="G12" s="16" t="n">
        <v>20000</v>
      </c>
      <c r="H12" s="16"/>
      <c r="I12" s="64"/>
      <c r="J12" s="65"/>
      <c r="K12" s="66"/>
    </row>
    <row r="13" customFormat="false" ht="23.85" hidden="false" customHeight="false" outlineLevel="0" collapsed="false">
      <c r="A13" s="4" t="n">
        <v>9</v>
      </c>
      <c r="B13" s="5" t="s">
        <v>30</v>
      </c>
      <c r="C13" s="4" t="s">
        <v>85</v>
      </c>
      <c r="D13" s="4" t="s">
        <v>84</v>
      </c>
      <c r="E13" s="59"/>
      <c r="F13" s="59"/>
      <c r="G13" s="8" t="n">
        <v>50000</v>
      </c>
      <c r="H13" s="8"/>
      <c r="I13" s="60"/>
      <c r="J13" s="61"/>
      <c r="K13" s="62"/>
    </row>
    <row r="14" customFormat="false" ht="15" hidden="false" customHeight="false" outlineLevel="0" collapsed="false">
      <c r="A14" s="12" t="n">
        <v>10</v>
      </c>
      <c r="B14" s="13" t="s">
        <v>31</v>
      </c>
      <c r="C14" s="12" t="s">
        <v>86</v>
      </c>
      <c r="D14" s="12" t="s">
        <v>87</v>
      </c>
      <c r="E14" s="63"/>
      <c r="F14" s="63"/>
      <c r="G14" s="16" t="n">
        <v>30000</v>
      </c>
      <c r="H14" s="16"/>
      <c r="I14" s="64"/>
      <c r="J14" s="65"/>
      <c r="K14" s="66"/>
    </row>
    <row r="15" customFormat="false" ht="15" hidden="false" customHeight="false" outlineLevel="0" collapsed="false">
      <c r="A15" s="4" t="n">
        <v>11</v>
      </c>
      <c r="B15" s="5" t="s">
        <v>34</v>
      </c>
      <c r="C15" s="4" t="s">
        <v>82</v>
      </c>
      <c r="D15" s="4" t="s">
        <v>83</v>
      </c>
      <c r="E15" s="59"/>
      <c r="F15" s="59"/>
      <c r="G15" s="8" t="n">
        <v>50000</v>
      </c>
      <c r="H15" s="8"/>
      <c r="I15" s="60"/>
      <c r="J15" s="61"/>
      <c r="K15" s="62"/>
    </row>
    <row r="16" customFormat="false" ht="15" hidden="false" customHeight="false" outlineLevel="0" collapsed="false">
      <c r="A16" s="12" t="n">
        <v>12</v>
      </c>
      <c r="B16" s="13" t="s">
        <v>35</v>
      </c>
      <c r="C16" s="12" t="s">
        <v>82</v>
      </c>
      <c r="D16" s="12" t="s">
        <v>87</v>
      </c>
      <c r="E16" s="63"/>
      <c r="F16" s="63"/>
      <c r="G16" s="16" t="n">
        <v>10000</v>
      </c>
      <c r="H16" s="16"/>
      <c r="I16" s="64"/>
      <c r="J16" s="65"/>
      <c r="K16" s="66"/>
    </row>
    <row r="17" customFormat="false" ht="15" hidden="false" customHeight="false" outlineLevel="0" collapsed="false">
      <c r="A17" s="4" t="n">
        <v>13</v>
      </c>
      <c r="B17" s="5" t="s">
        <v>38</v>
      </c>
      <c r="C17" s="4" t="s">
        <v>85</v>
      </c>
      <c r="D17" s="4" t="s">
        <v>84</v>
      </c>
      <c r="E17" s="59"/>
      <c r="F17" s="59"/>
      <c r="G17" s="8" t="n">
        <v>70000</v>
      </c>
      <c r="H17" s="8"/>
      <c r="I17" s="60"/>
      <c r="J17" s="61"/>
      <c r="K17" s="62"/>
    </row>
    <row r="18" customFormat="false" ht="15" hidden="false" customHeight="false" outlineLevel="0" collapsed="false">
      <c r="A18" s="12" t="n">
        <v>14</v>
      </c>
      <c r="B18" s="13" t="s">
        <v>39</v>
      </c>
      <c r="C18" s="12" t="s">
        <v>82</v>
      </c>
      <c r="D18" s="12" t="s">
        <v>84</v>
      </c>
      <c r="E18" s="63"/>
      <c r="F18" s="63"/>
      <c r="G18" s="16" t="n">
        <v>40000</v>
      </c>
      <c r="H18" s="16"/>
      <c r="I18" s="64"/>
      <c r="J18" s="65"/>
      <c r="K18" s="66"/>
    </row>
    <row r="19" customFormat="false" ht="23.85" hidden="false" customHeight="false" outlineLevel="0" collapsed="false">
      <c r="A19" s="4" t="n">
        <v>15</v>
      </c>
      <c r="B19" s="5" t="s">
        <v>41</v>
      </c>
      <c r="C19" s="4" t="s">
        <v>82</v>
      </c>
      <c r="D19" s="4" t="s">
        <v>87</v>
      </c>
      <c r="E19" s="59"/>
      <c r="F19" s="59"/>
      <c r="G19" s="8" t="n">
        <v>30000</v>
      </c>
      <c r="H19" s="8"/>
      <c r="I19" s="60"/>
      <c r="J19" s="61"/>
      <c r="K19" s="62"/>
    </row>
    <row r="20" customFormat="false" ht="15" hidden="false" customHeight="false" outlineLevel="0" collapsed="false">
      <c r="A20" s="12" t="n">
        <v>16</v>
      </c>
      <c r="B20" s="13" t="s">
        <v>43</v>
      </c>
      <c r="C20" s="12" t="s">
        <v>85</v>
      </c>
      <c r="D20" s="12" t="s">
        <v>84</v>
      </c>
      <c r="E20" s="63"/>
      <c r="F20" s="63"/>
      <c r="G20" s="16" t="n">
        <v>25000</v>
      </c>
      <c r="H20" s="16"/>
      <c r="I20" s="64"/>
      <c r="J20" s="65"/>
      <c r="K20" s="66"/>
    </row>
    <row r="22" customFormat="false" ht="25.5" hidden="false" customHeight="true" outlineLevel="0" collapsed="false">
      <c r="A22" s="27" t="s">
        <v>88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customFormat="false" ht="39.75" hidden="false" customHeight="true" outlineLevel="0" collapsed="false">
      <c r="A23" s="67"/>
      <c r="B23" s="67" t="s">
        <v>89</v>
      </c>
      <c r="C23" s="67" t="s">
        <v>90</v>
      </c>
      <c r="D23" s="67"/>
      <c r="E23" s="67"/>
      <c r="F23" s="67"/>
      <c r="G23" s="67" t="s">
        <v>6</v>
      </c>
      <c r="H23" s="67" t="s">
        <v>78</v>
      </c>
      <c r="I23" s="67" t="s">
        <v>91</v>
      </c>
      <c r="J23" s="67"/>
      <c r="K23" s="67"/>
    </row>
    <row r="24" customFormat="false" ht="15" hidden="false" customHeight="false" outlineLevel="0" collapsed="false">
      <c r="A24" s="12"/>
      <c r="B24" s="13" t="s">
        <v>92</v>
      </c>
      <c r="C24" s="12" t="n">
        <f aca="false">COUNTIF(C5:C20,"1")</f>
        <v>9</v>
      </c>
      <c r="D24" s="68"/>
      <c r="E24" s="68"/>
      <c r="F24" s="68"/>
      <c r="G24" s="18" t="n">
        <f aca="false">SUMIF(C5:C20,"1",G5:G20)</f>
        <v>950000</v>
      </c>
      <c r="H24" s="18" t="n">
        <f aca="false">SUMIF(C5:C20,"1",H5:H20)</f>
        <v>0</v>
      </c>
      <c r="I24" s="69" t="n">
        <f aca="false">IFERROR(AVERAGEIF(C5:C20,"1",I5:I20),0)</f>
        <v>0</v>
      </c>
      <c r="J24" s="68"/>
      <c r="K24" s="68"/>
    </row>
    <row r="25" customFormat="false" ht="15" hidden="false" customHeight="false" outlineLevel="0" collapsed="false">
      <c r="A25" s="4"/>
      <c r="B25" s="5" t="s">
        <v>93</v>
      </c>
      <c r="C25" s="4" t="n">
        <f aca="false">COUNTIF(C5:C20,"2")</f>
        <v>5</v>
      </c>
      <c r="D25" s="70"/>
      <c r="E25" s="70"/>
      <c r="F25" s="70"/>
      <c r="G25" s="10" t="n">
        <f aca="false">SUMIF(C5:C20,"2",G5:G20)</f>
        <v>695000</v>
      </c>
      <c r="H25" s="10" t="n">
        <f aca="false">SUMIF(C5:C20,"2",H5:H20)</f>
        <v>0</v>
      </c>
      <c r="I25" s="71" t="n">
        <f aca="false">IFERROR(AVERAGEIF(C5:C20,"2",I5:I20),0)</f>
        <v>0</v>
      </c>
      <c r="J25" s="70"/>
      <c r="K25" s="70"/>
    </row>
    <row r="26" customFormat="false" ht="23.85" hidden="false" customHeight="false" outlineLevel="0" collapsed="false">
      <c r="A26" s="12"/>
      <c r="B26" s="13" t="s">
        <v>94</v>
      </c>
      <c r="C26" s="12" t="n">
        <f aca="false">COUNTIF(C5:C20,"3")</f>
        <v>2</v>
      </c>
      <c r="D26" s="68"/>
      <c r="E26" s="68"/>
      <c r="F26" s="68"/>
      <c r="G26" s="18" t="n">
        <f aca="false">SUMIF(C5:C20,"3",G5:G20)</f>
        <v>280000</v>
      </c>
      <c r="H26" s="18" t="n">
        <f aca="false">SUMIF(C5:C20,"3",H5:H20)</f>
        <v>0</v>
      </c>
      <c r="I26" s="69" t="n">
        <f aca="false">IFERROR(AVERAGEIF(C5:C20,"3",I5:I20),0)</f>
        <v>0</v>
      </c>
      <c r="J26" s="68"/>
      <c r="K26" s="68"/>
    </row>
  </sheetData>
  <mergeCells count="3">
    <mergeCell ref="A1:K1"/>
    <mergeCell ref="A2:K2"/>
    <mergeCell ref="A22:K22"/>
  </mergeCells>
  <conditionalFormatting sqref="D5:D20">
    <cfRule type="cellIs" priority="2" operator="equal" aboveAverage="0" equalAverage="0" bottom="0" percent="0" rank="0" text="" dxfId="1">
      <formula>"H"</formula>
    </cfRule>
    <cfRule type="cellIs" priority="3" operator="equal" aboveAverage="0" equalAverage="0" bottom="0" percent="0" rank="0" text="" dxfId="0">
      <formula>"L"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6" min="4" style="0" width="22"/>
    <col collapsed="false" customWidth="true" hidden="false" outlineLevel="0" max="7" min="7" style="0" width="28"/>
  </cols>
  <sheetData>
    <row r="1" customFormat="false" ht="37.5" hidden="false" customHeight="true" outlineLevel="0" collapsed="false">
      <c r="A1" s="72" t="s">
        <v>95</v>
      </c>
      <c r="B1" s="72"/>
      <c r="C1" s="72"/>
      <c r="D1" s="72"/>
      <c r="E1" s="72"/>
      <c r="F1" s="72"/>
      <c r="G1" s="72"/>
    </row>
    <row r="2" customFormat="false" ht="25.5" hidden="false" customHeight="true" outlineLevel="0" collapsed="false">
      <c r="A2" s="73" t="s">
        <v>96</v>
      </c>
      <c r="B2" s="73"/>
      <c r="C2" s="73"/>
      <c r="D2" s="73"/>
      <c r="E2" s="73"/>
      <c r="F2" s="73"/>
      <c r="G2" s="73"/>
    </row>
    <row r="3" customFormat="false" ht="39.75" hidden="false" customHeight="true" outlineLevel="0" collapsed="false">
      <c r="A3" s="74" t="s">
        <v>61</v>
      </c>
      <c r="B3" s="74" t="s">
        <v>3</v>
      </c>
      <c r="C3" s="74" t="s">
        <v>97</v>
      </c>
      <c r="D3" s="74" t="s">
        <v>98</v>
      </c>
      <c r="E3" s="74" t="s">
        <v>99</v>
      </c>
      <c r="F3" s="74" t="s">
        <v>100</v>
      </c>
      <c r="G3" s="74" t="s">
        <v>101</v>
      </c>
    </row>
    <row r="4" customFormat="false" ht="49.5" hidden="false" customHeight="true" outlineLevel="0" collapsed="false">
      <c r="A4" s="12" t="n">
        <v>1</v>
      </c>
      <c r="B4" s="13" t="s">
        <v>102</v>
      </c>
      <c r="C4" s="75" t="s">
        <v>103</v>
      </c>
      <c r="D4" s="76" t="s">
        <v>104</v>
      </c>
      <c r="E4" s="77" t="s">
        <v>105</v>
      </c>
      <c r="F4" s="77" t="s">
        <v>106</v>
      </c>
      <c r="G4" s="78" t="s">
        <v>107</v>
      </c>
    </row>
    <row r="5" customFormat="false" ht="49.5" hidden="false" customHeight="true" outlineLevel="0" collapsed="false">
      <c r="A5" s="4" t="n">
        <v>2</v>
      </c>
      <c r="B5" s="5" t="s">
        <v>108</v>
      </c>
      <c r="C5" s="79" t="s">
        <v>109</v>
      </c>
      <c r="D5" s="80" t="s">
        <v>110</v>
      </c>
      <c r="E5" s="81" t="s">
        <v>111</v>
      </c>
      <c r="F5" s="81" t="s">
        <v>112</v>
      </c>
      <c r="G5" s="82" t="s">
        <v>113</v>
      </c>
    </row>
    <row r="6" customFormat="false" ht="49.5" hidden="false" customHeight="true" outlineLevel="0" collapsed="false">
      <c r="A6" s="12" t="n">
        <v>3</v>
      </c>
      <c r="B6" s="13" t="s">
        <v>114</v>
      </c>
      <c r="C6" s="75" t="s">
        <v>115</v>
      </c>
      <c r="D6" s="76" t="s">
        <v>116</v>
      </c>
      <c r="E6" s="77" t="s">
        <v>117</v>
      </c>
      <c r="F6" s="77" t="s">
        <v>118</v>
      </c>
      <c r="G6" s="78" t="s">
        <v>119</v>
      </c>
    </row>
    <row r="7" customFormat="false" ht="49.5" hidden="false" customHeight="true" outlineLevel="0" collapsed="false">
      <c r="A7" s="4" t="n">
        <v>4</v>
      </c>
      <c r="B7" s="5" t="s">
        <v>120</v>
      </c>
      <c r="C7" s="79" t="s">
        <v>121</v>
      </c>
      <c r="D7" s="80" t="s">
        <v>122</v>
      </c>
      <c r="E7" s="81" t="s">
        <v>123</v>
      </c>
      <c r="F7" s="81" t="s">
        <v>124</v>
      </c>
      <c r="G7" s="82" t="s">
        <v>125</v>
      </c>
    </row>
    <row r="8" customFormat="false" ht="49.5" hidden="false" customHeight="true" outlineLevel="0" collapsed="false">
      <c r="A8" s="12" t="n">
        <v>5</v>
      </c>
      <c r="B8" s="13" t="s">
        <v>126</v>
      </c>
      <c r="C8" s="75" t="s">
        <v>127</v>
      </c>
      <c r="D8" s="76" t="s">
        <v>128</v>
      </c>
      <c r="E8" s="77" t="s">
        <v>129</v>
      </c>
      <c r="F8" s="77" t="s">
        <v>130</v>
      </c>
      <c r="G8" s="78" t="s">
        <v>131</v>
      </c>
    </row>
    <row r="9" customFormat="false" ht="49.5" hidden="false" customHeight="true" outlineLevel="0" collapsed="false">
      <c r="A9" s="4" t="n">
        <v>6</v>
      </c>
      <c r="B9" s="5" t="s">
        <v>132</v>
      </c>
      <c r="C9" s="79" t="s">
        <v>133</v>
      </c>
      <c r="D9" s="80" t="s">
        <v>134</v>
      </c>
      <c r="E9" s="81" t="s">
        <v>135</v>
      </c>
      <c r="F9" s="81" t="s">
        <v>136</v>
      </c>
      <c r="G9" s="82" t="s">
        <v>137</v>
      </c>
    </row>
    <row r="10" customFormat="false" ht="49.5" hidden="false" customHeight="true" outlineLevel="0" collapsed="false">
      <c r="A10" s="12" t="n">
        <v>7</v>
      </c>
      <c r="B10" s="13" t="s">
        <v>138</v>
      </c>
      <c r="C10" s="75" t="s">
        <v>139</v>
      </c>
      <c r="D10" s="76" t="s">
        <v>140</v>
      </c>
      <c r="E10" s="77" t="s">
        <v>141</v>
      </c>
      <c r="F10" s="77" t="s">
        <v>142</v>
      </c>
      <c r="G10" s="78" t="s">
        <v>143</v>
      </c>
    </row>
    <row r="11" customFormat="false" ht="49.5" hidden="false" customHeight="true" outlineLevel="0" collapsed="false">
      <c r="A11" s="4" t="n">
        <v>8</v>
      </c>
      <c r="B11" s="5" t="s">
        <v>144</v>
      </c>
      <c r="C11" s="79" t="s">
        <v>145</v>
      </c>
      <c r="D11" s="80" t="s">
        <v>146</v>
      </c>
      <c r="E11" s="81" t="s">
        <v>147</v>
      </c>
      <c r="F11" s="81" t="s">
        <v>148</v>
      </c>
      <c r="G11" s="82" t="s">
        <v>149</v>
      </c>
    </row>
    <row r="12" customFormat="false" ht="49.5" hidden="false" customHeight="true" outlineLevel="0" collapsed="false">
      <c r="A12" s="12" t="n">
        <v>9</v>
      </c>
      <c r="B12" s="13" t="s">
        <v>150</v>
      </c>
      <c r="C12" s="75" t="s">
        <v>151</v>
      </c>
      <c r="D12" s="76" t="s">
        <v>152</v>
      </c>
      <c r="E12" s="77" t="s">
        <v>153</v>
      </c>
      <c r="F12" s="77" t="s">
        <v>154</v>
      </c>
      <c r="G12" s="78" t="s">
        <v>155</v>
      </c>
    </row>
    <row r="13" customFormat="false" ht="49.5" hidden="false" customHeight="true" outlineLevel="0" collapsed="false">
      <c r="A13" s="4" t="n">
        <v>10</v>
      </c>
      <c r="B13" s="5" t="s">
        <v>156</v>
      </c>
      <c r="C13" s="79" t="s">
        <v>157</v>
      </c>
      <c r="D13" s="80" t="s">
        <v>158</v>
      </c>
      <c r="E13" s="81" t="s">
        <v>159</v>
      </c>
      <c r="F13" s="81" t="s">
        <v>160</v>
      </c>
      <c r="G13" s="82" t="s">
        <v>161</v>
      </c>
    </row>
    <row r="14" customFormat="false" ht="49.5" hidden="false" customHeight="true" outlineLevel="0" collapsed="false">
      <c r="A14" s="12" t="n">
        <v>11</v>
      </c>
      <c r="B14" s="13" t="s">
        <v>162</v>
      </c>
      <c r="C14" s="75" t="s">
        <v>163</v>
      </c>
      <c r="D14" s="76" t="s">
        <v>164</v>
      </c>
      <c r="E14" s="77" t="s">
        <v>165</v>
      </c>
      <c r="F14" s="77" t="s">
        <v>166</v>
      </c>
      <c r="G14" s="78" t="s">
        <v>167</v>
      </c>
    </row>
    <row r="15" customFormat="false" ht="49.5" hidden="false" customHeight="true" outlineLevel="0" collapsed="false">
      <c r="A15" s="4" t="n">
        <v>12</v>
      </c>
      <c r="B15" s="5" t="s">
        <v>168</v>
      </c>
      <c r="C15" s="79" t="s">
        <v>169</v>
      </c>
      <c r="D15" s="80" t="s">
        <v>170</v>
      </c>
      <c r="E15" s="81" t="s">
        <v>171</v>
      </c>
      <c r="F15" s="81" t="s">
        <v>172</v>
      </c>
      <c r="G15" s="82" t="s">
        <v>173</v>
      </c>
    </row>
    <row r="16" customFormat="false" ht="49.5" hidden="false" customHeight="true" outlineLevel="0" collapsed="false">
      <c r="A16" s="12" t="n">
        <v>13</v>
      </c>
      <c r="B16" s="13" t="s">
        <v>174</v>
      </c>
      <c r="C16" s="75" t="s">
        <v>175</v>
      </c>
      <c r="D16" s="76" t="s">
        <v>176</v>
      </c>
      <c r="E16" s="77" t="s">
        <v>177</v>
      </c>
      <c r="F16" s="77" t="s">
        <v>178</v>
      </c>
      <c r="G16" s="78" t="s">
        <v>179</v>
      </c>
    </row>
    <row r="17" customFormat="false" ht="49.5" hidden="false" customHeight="true" outlineLevel="0" collapsed="false">
      <c r="A17" s="4" t="n">
        <v>14</v>
      </c>
      <c r="B17" s="5" t="s">
        <v>180</v>
      </c>
      <c r="C17" s="79" t="s">
        <v>181</v>
      </c>
      <c r="D17" s="80" t="s">
        <v>182</v>
      </c>
      <c r="E17" s="81" t="s">
        <v>183</v>
      </c>
      <c r="F17" s="81" t="s">
        <v>184</v>
      </c>
      <c r="G17" s="82" t="s">
        <v>185</v>
      </c>
    </row>
    <row r="18" customFormat="false" ht="49.5" hidden="false" customHeight="true" outlineLevel="0" collapsed="false">
      <c r="A18" s="12" t="n">
        <v>15</v>
      </c>
      <c r="B18" s="13" t="s">
        <v>186</v>
      </c>
      <c r="C18" s="75" t="s">
        <v>187</v>
      </c>
      <c r="D18" s="76" t="s">
        <v>188</v>
      </c>
      <c r="E18" s="77" t="s">
        <v>189</v>
      </c>
      <c r="F18" s="77" t="s">
        <v>190</v>
      </c>
      <c r="G18" s="78" t="s">
        <v>191</v>
      </c>
    </row>
    <row r="19" customFormat="false" ht="49.5" hidden="false" customHeight="true" outlineLevel="0" collapsed="false">
      <c r="A19" s="4" t="n">
        <v>16</v>
      </c>
      <c r="B19" s="5" t="s">
        <v>192</v>
      </c>
      <c r="C19" s="79" t="s">
        <v>193</v>
      </c>
      <c r="D19" s="80" t="s">
        <v>194</v>
      </c>
      <c r="E19" s="81" t="s">
        <v>195</v>
      </c>
      <c r="F19" s="81" t="s">
        <v>196</v>
      </c>
      <c r="G19" s="82" t="s">
        <v>197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8" min="3" style="0" width="22"/>
  </cols>
  <sheetData>
    <row r="1" customFormat="false" ht="37.5" hidden="false" customHeight="true" outlineLevel="0" collapsed="false">
      <c r="A1" s="83" t="s">
        <v>198</v>
      </c>
      <c r="B1" s="83"/>
      <c r="C1" s="83"/>
      <c r="D1" s="83"/>
      <c r="E1" s="83"/>
      <c r="F1" s="83"/>
      <c r="G1" s="83"/>
      <c r="H1" s="83"/>
    </row>
    <row r="2" customFormat="false" ht="25.5" hidden="false" customHeight="true" outlineLevel="0" collapsed="false">
      <c r="A2" s="84" t="s">
        <v>199</v>
      </c>
      <c r="B2" s="84"/>
      <c r="C2" s="84"/>
      <c r="D2" s="84"/>
      <c r="E2" s="84"/>
      <c r="F2" s="84"/>
      <c r="G2" s="84"/>
      <c r="H2" s="84"/>
    </row>
    <row r="4" customFormat="false" ht="39.75" hidden="false" customHeight="true" outlineLevel="0" collapsed="false">
      <c r="A4" s="85" t="s">
        <v>61</v>
      </c>
      <c r="B4" s="85" t="s">
        <v>3</v>
      </c>
      <c r="C4" s="85" t="s">
        <v>200</v>
      </c>
      <c r="D4" s="85" t="s">
        <v>201</v>
      </c>
      <c r="E4" s="85" t="s">
        <v>202</v>
      </c>
      <c r="F4" s="85" t="s">
        <v>203</v>
      </c>
      <c r="G4" s="85" t="s">
        <v>204</v>
      </c>
      <c r="H4" s="85" t="s">
        <v>205</v>
      </c>
    </row>
    <row r="5" customFormat="false" ht="23.85" hidden="false" customHeight="false" outlineLevel="0" collapsed="false">
      <c r="A5" s="4" t="n">
        <v>1</v>
      </c>
      <c r="B5" s="5" t="s">
        <v>14</v>
      </c>
      <c r="C5" s="7" t="n">
        <v>160000</v>
      </c>
      <c r="D5" s="41" t="n">
        <f aca="false">C5-E5</f>
        <v>140000</v>
      </c>
      <c r="E5" s="86" t="n">
        <f aca="false">'1. Master Dashboard'!D5</f>
        <v>20000</v>
      </c>
      <c r="F5" s="42" t="n">
        <f aca="false">IF(C5&gt;0,E5/C5*100,0)</f>
        <v>12.5</v>
      </c>
      <c r="G5" s="10" t="n">
        <f aca="false">E5*8</f>
        <v>160000</v>
      </c>
      <c r="H5" s="11" t="n">
        <f aca="false">E5*0.82/1000</f>
        <v>16.4</v>
      </c>
    </row>
    <row r="6" customFormat="false" ht="23.85" hidden="false" customHeight="false" outlineLevel="0" collapsed="false">
      <c r="A6" s="12" t="n">
        <v>2</v>
      </c>
      <c r="B6" s="13" t="s">
        <v>17</v>
      </c>
      <c r="C6" s="15" t="n">
        <v>28571</v>
      </c>
      <c r="D6" s="43" t="n">
        <f aca="false">C6-E6</f>
        <v>23571</v>
      </c>
      <c r="E6" s="87" t="n">
        <f aca="false">'1. Master Dashboard'!D6</f>
        <v>5000</v>
      </c>
      <c r="F6" s="44" t="n">
        <f aca="false">IF(C6&gt;0,E6/C6*100,0)</f>
        <v>17.5002625039376</v>
      </c>
      <c r="G6" s="18" t="n">
        <f aca="false">E6*8</f>
        <v>40000</v>
      </c>
      <c r="H6" s="19" t="n">
        <f aca="false">E6*0.82/1000</f>
        <v>4.1</v>
      </c>
    </row>
    <row r="7" customFormat="false" ht="15" hidden="false" customHeight="false" outlineLevel="0" collapsed="false">
      <c r="A7" s="4" t="n">
        <v>3</v>
      </c>
      <c r="B7" s="5" t="s">
        <v>19</v>
      </c>
      <c r="C7" s="7" t="n">
        <v>34286</v>
      </c>
      <c r="D7" s="41" t="n">
        <f aca="false">C7-E7</f>
        <v>22286</v>
      </c>
      <c r="E7" s="86" t="n">
        <f aca="false">'1. Master Dashboard'!D7</f>
        <v>12000</v>
      </c>
      <c r="F7" s="42" t="n">
        <f aca="false">IF(C7&gt;0,E7/C7*100,0)</f>
        <v>34.9997083357639</v>
      </c>
      <c r="G7" s="10" t="n">
        <f aca="false">E7*8</f>
        <v>96000</v>
      </c>
      <c r="H7" s="11" t="n">
        <f aca="false">E7*0.82/1000</f>
        <v>9.84</v>
      </c>
    </row>
    <row r="8" customFormat="false" ht="15" hidden="false" customHeight="false" outlineLevel="0" collapsed="false">
      <c r="A8" s="12" t="n">
        <v>4</v>
      </c>
      <c r="B8" s="13" t="s">
        <v>22</v>
      </c>
      <c r="C8" s="15" t="n">
        <v>55385</v>
      </c>
      <c r="D8" s="43" t="n">
        <f aca="false">C8-E8</f>
        <v>19385</v>
      </c>
      <c r="E8" s="87" t="n">
        <f aca="false">'1. Master Dashboard'!D8</f>
        <v>36000</v>
      </c>
      <c r="F8" s="44" t="n">
        <f aca="false">IF(C8&gt;0,E8/C8*100,0)</f>
        <v>64.9995486142457</v>
      </c>
      <c r="G8" s="18" t="n">
        <f aca="false">E8*8</f>
        <v>288000</v>
      </c>
      <c r="H8" s="19" t="n">
        <f aca="false">E8*0.82/1000</f>
        <v>29.52</v>
      </c>
    </row>
    <row r="9" customFormat="false" ht="23.85" hidden="false" customHeight="false" outlineLevel="0" collapsed="false">
      <c r="A9" s="4" t="n">
        <v>5</v>
      </c>
      <c r="B9" s="5" t="s">
        <v>23</v>
      </c>
      <c r="C9" s="7" t="n">
        <v>4706</v>
      </c>
      <c r="D9" s="41" t="n">
        <f aca="false">C9-E9</f>
        <v>706</v>
      </c>
      <c r="E9" s="86" t="n">
        <f aca="false">'1. Master Dashboard'!D9</f>
        <v>4000</v>
      </c>
      <c r="F9" s="42" t="n">
        <f aca="false">IF(C9&gt;0,E9/C9*100,0)</f>
        <v>84.9978750531237</v>
      </c>
      <c r="G9" s="10" t="n">
        <f aca="false">E9*8</f>
        <v>32000</v>
      </c>
      <c r="H9" s="11" t="n">
        <f aca="false">E9*0.82/1000</f>
        <v>3.28</v>
      </c>
    </row>
    <row r="10" customFormat="false" ht="23.85" hidden="false" customHeight="false" outlineLevel="0" collapsed="false">
      <c r="A10" s="12" t="n">
        <v>6</v>
      </c>
      <c r="B10" s="13" t="s">
        <v>25</v>
      </c>
      <c r="C10" s="15" t="n">
        <v>15385</v>
      </c>
      <c r="D10" s="43" t="n">
        <f aca="false">C10-E10</f>
        <v>5385</v>
      </c>
      <c r="E10" s="87" t="n">
        <f aca="false">'1. Master Dashboard'!D10</f>
        <v>10000</v>
      </c>
      <c r="F10" s="44" t="n">
        <f aca="false">IF(C10&gt;0,E10/C10*100,0)</f>
        <v>64.998375040624</v>
      </c>
      <c r="G10" s="18" t="n">
        <f aca="false">E10*8</f>
        <v>80000</v>
      </c>
      <c r="H10" s="19" t="n">
        <f aca="false">E10*0.82/1000</f>
        <v>8.2</v>
      </c>
    </row>
    <row r="11" customFormat="false" ht="23.85" hidden="false" customHeight="false" outlineLevel="0" collapsed="false">
      <c r="A11" s="4" t="n">
        <v>7</v>
      </c>
      <c r="B11" s="5" t="s">
        <v>26</v>
      </c>
      <c r="C11" s="7" t="n">
        <v>40000</v>
      </c>
      <c r="D11" s="41" t="n">
        <f aca="false">C11-E11</f>
        <v>32000</v>
      </c>
      <c r="E11" s="86" t="n">
        <f aca="false">'1. Master Dashboard'!D11</f>
        <v>8000</v>
      </c>
      <c r="F11" s="42" t="n">
        <f aca="false">IF(C11&gt;0,E11/C11*100,0)</f>
        <v>20</v>
      </c>
      <c r="G11" s="10" t="n">
        <f aca="false">E11*8</f>
        <v>64000</v>
      </c>
      <c r="H11" s="11" t="n">
        <f aca="false">E11*0.82/1000</f>
        <v>6.56</v>
      </c>
    </row>
    <row r="12" customFormat="false" ht="15" hidden="false" customHeight="false" outlineLevel="0" collapsed="false">
      <c r="A12" s="12" t="n">
        <v>8</v>
      </c>
      <c r="B12" s="13" t="s">
        <v>28</v>
      </c>
      <c r="C12" s="15" t="n">
        <v>12000</v>
      </c>
      <c r="D12" s="43" t="n">
        <f aca="false">C12-E12</f>
        <v>9000</v>
      </c>
      <c r="E12" s="87" t="n">
        <f aca="false">'1. Master Dashboard'!D12</f>
        <v>3000</v>
      </c>
      <c r="F12" s="44" t="n">
        <f aca="false">IF(C12&gt;0,E12/C12*100,0)</f>
        <v>25</v>
      </c>
      <c r="G12" s="18" t="n">
        <f aca="false">E12*8</f>
        <v>24000</v>
      </c>
      <c r="H12" s="19" t="n">
        <f aca="false">E12*0.82/1000</f>
        <v>2.46</v>
      </c>
    </row>
    <row r="13" customFormat="false" ht="23.85" hidden="false" customHeight="false" outlineLevel="0" collapsed="false">
      <c r="A13" s="4" t="n">
        <v>9</v>
      </c>
      <c r="B13" s="5" t="s">
        <v>30</v>
      </c>
      <c r="C13" s="7" t="n">
        <v>13333</v>
      </c>
      <c r="D13" s="41" t="n">
        <f aca="false">C13-E13</f>
        <v>11333</v>
      </c>
      <c r="E13" s="86" t="n">
        <f aca="false">'1. Master Dashboard'!D13</f>
        <v>2000</v>
      </c>
      <c r="F13" s="42" t="n">
        <f aca="false">IF(C13&gt;0,E13/C13*100,0)</f>
        <v>15.0003750093752</v>
      </c>
      <c r="G13" s="10" t="n">
        <f aca="false">E13*8</f>
        <v>16000</v>
      </c>
      <c r="H13" s="11" t="n">
        <f aca="false">E13*0.82/1000</f>
        <v>1.64</v>
      </c>
    </row>
    <row r="14" customFormat="false" ht="15" hidden="false" customHeight="false" outlineLevel="0" collapsed="false">
      <c r="A14" s="12" t="n">
        <v>10</v>
      </c>
      <c r="B14" s="13" t="s">
        <v>31</v>
      </c>
      <c r="C14" s="15" t="n">
        <v>3750</v>
      </c>
      <c r="D14" s="43" t="n">
        <f aca="false">C14-E14</f>
        <v>2250</v>
      </c>
      <c r="E14" s="87" t="n">
        <f aca="false">'1. Master Dashboard'!D14</f>
        <v>1500</v>
      </c>
      <c r="F14" s="44" t="n">
        <f aca="false">IF(C14&gt;0,E14/C14*100,0)</f>
        <v>40</v>
      </c>
      <c r="G14" s="18" t="n">
        <f aca="false">E14*8</f>
        <v>12000</v>
      </c>
      <c r="H14" s="19" t="n">
        <f aca="false">E14*0.82/1000</f>
        <v>1.23</v>
      </c>
    </row>
    <row r="15" customFormat="false" ht="15" hidden="false" customHeight="false" outlineLevel="0" collapsed="false">
      <c r="A15" s="4" t="n">
        <v>11</v>
      </c>
      <c r="B15" s="5" t="s">
        <v>34</v>
      </c>
      <c r="C15" s="7" t="n">
        <v>6818</v>
      </c>
      <c r="D15" s="41" t="n">
        <f aca="false">C15-E15</f>
        <v>818</v>
      </c>
      <c r="E15" s="86" t="n">
        <f aca="false">'1. Master Dashboard'!D15</f>
        <v>6000</v>
      </c>
      <c r="F15" s="42" t="n">
        <f aca="false">IF(C15&gt;0,E15/C15*100,0)</f>
        <v>88.0023467292461</v>
      </c>
      <c r="G15" s="10" t="n">
        <f aca="false">E15*8</f>
        <v>48000</v>
      </c>
      <c r="H15" s="11" t="n">
        <f aca="false">E15*0.82/1000</f>
        <v>4.92</v>
      </c>
    </row>
    <row r="16" customFormat="false" ht="15" hidden="false" customHeight="false" outlineLevel="0" collapsed="false">
      <c r="A16" s="12" t="n">
        <v>12</v>
      </c>
      <c r="B16" s="13" t="s">
        <v>35</v>
      </c>
      <c r="C16" s="15" t="n">
        <v>10000</v>
      </c>
      <c r="D16" s="43" t="n">
        <f aca="false">C16-E16</f>
        <v>9000</v>
      </c>
      <c r="E16" s="87" t="n">
        <f aca="false">'1. Master Dashboard'!D16</f>
        <v>1000</v>
      </c>
      <c r="F16" s="44" t="n">
        <f aca="false">IF(C16&gt;0,E16/C16*100,0)</f>
        <v>10</v>
      </c>
      <c r="G16" s="18" t="n">
        <f aca="false">E16*8</f>
        <v>8000</v>
      </c>
      <c r="H16" s="19" t="n">
        <f aca="false">E16*0.82/1000</f>
        <v>0.82</v>
      </c>
    </row>
    <row r="17" customFormat="false" ht="15" hidden="false" customHeight="false" outlineLevel="0" collapsed="false">
      <c r="A17" s="4" t="n">
        <v>13</v>
      </c>
      <c r="B17" s="5" t="s">
        <v>38</v>
      </c>
      <c r="C17" s="7" t="n">
        <v>56000</v>
      </c>
      <c r="D17" s="41" t="n">
        <f aca="false">C17-E17</f>
        <v>49000</v>
      </c>
      <c r="E17" s="86" t="n">
        <f aca="false">'1. Master Dashboard'!D17</f>
        <v>7000</v>
      </c>
      <c r="F17" s="42" t="n">
        <f aca="false">IF(C17&gt;0,E17/C17*100,0)</f>
        <v>12.5</v>
      </c>
      <c r="G17" s="10" t="n">
        <f aca="false">E17*8</f>
        <v>56000</v>
      </c>
      <c r="H17" s="11" t="n">
        <f aca="false">E17*0.82/1000</f>
        <v>5.74</v>
      </c>
    </row>
    <row r="18" customFormat="false" ht="15" hidden="false" customHeight="false" outlineLevel="0" collapsed="false">
      <c r="A18" s="12" t="n">
        <v>14</v>
      </c>
      <c r="B18" s="13" t="s">
        <v>39</v>
      </c>
      <c r="C18" s="15" t="n">
        <v>12500</v>
      </c>
      <c r="D18" s="43" t="n">
        <f aca="false">C18-E18</f>
        <v>7500</v>
      </c>
      <c r="E18" s="87" t="n">
        <f aca="false">'1. Master Dashboard'!D18</f>
        <v>5000</v>
      </c>
      <c r="F18" s="44" t="n">
        <f aca="false">IF(C18&gt;0,E18/C18*100,0)</f>
        <v>40</v>
      </c>
      <c r="G18" s="18" t="n">
        <f aca="false">E18*8</f>
        <v>40000</v>
      </c>
      <c r="H18" s="19" t="n">
        <f aca="false">E18*0.82/1000</f>
        <v>4.1</v>
      </c>
    </row>
    <row r="19" customFormat="false" ht="23.85" hidden="false" customHeight="false" outlineLevel="0" collapsed="false">
      <c r="A19" s="4" t="n">
        <v>15</v>
      </c>
      <c r="B19" s="5" t="s">
        <v>41</v>
      </c>
      <c r="C19" s="7" t="n">
        <v>10000</v>
      </c>
      <c r="D19" s="41" t="n">
        <f aca="false">C19-E19</f>
        <v>7500</v>
      </c>
      <c r="E19" s="86" t="n">
        <f aca="false">'1. Master Dashboard'!D19</f>
        <v>2500</v>
      </c>
      <c r="F19" s="42" t="n">
        <f aca="false">IF(C19&gt;0,E19/C19*100,0)</f>
        <v>25</v>
      </c>
      <c r="G19" s="10" t="n">
        <f aca="false">E19*8</f>
        <v>20000</v>
      </c>
      <c r="H19" s="11" t="n">
        <f aca="false">E19*0.82/1000</f>
        <v>2.05</v>
      </c>
    </row>
    <row r="20" customFormat="false" ht="15" hidden="false" customHeight="false" outlineLevel="0" collapsed="false">
      <c r="A20" s="12" t="n">
        <v>16</v>
      </c>
      <c r="B20" s="13" t="s">
        <v>43</v>
      </c>
      <c r="C20" s="15" t="n">
        <v>8000</v>
      </c>
      <c r="D20" s="43" t="n">
        <f aca="false">C20-E20</f>
        <v>4000</v>
      </c>
      <c r="E20" s="87" t="n">
        <f aca="false">'1. Master Dashboard'!D20</f>
        <v>4000</v>
      </c>
      <c r="F20" s="44" t="n">
        <f aca="false">IF(C20&gt;0,E20/C20*100,0)</f>
        <v>50</v>
      </c>
      <c r="G20" s="18" t="n">
        <f aca="false">E20*8</f>
        <v>32000</v>
      </c>
      <c r="H20" s="19" t="n">
        <f aca="false">E20*0.82/1000</f>
        <v>3.28</v>
      </c>
    </row>
    <row r="21" customFormat="false" ht="15" hidden="false" customHeight="false" outlineLevel="0" collapsed="false">
      <c r="A21" s="88"/>
      <c r="B21" s="85" t="s">
        <v>68</v>
      </c>
      <c r="C21" s="89" t="n">
        <f aca="false">SUM(C5:C20)</f>
        <v>470734</v>
      </c>
      <c r="D21" s="89" t="n">
        <f aca="false">SUM(D5:D20)</f>
        <v>343734</v>
      </c>
      <c r="E21" s="89" t="n">
        <f aca="false">SUM(E5:E20)</f>
        <v>127000</v>
      </c>
      <c r="F21" s="90" t="n">
        <f aca="false">IF(C21&gt;0,E21/C21*100,0)</f>
        <v>26.9791432103906</v>
      </c>
      <c r="G21" s="91" t="n">
        <f aca="false">SUM(G5:G20)</f>
        <v>1016000</v>
      </c>
      <c r="H21" s="89" t="n">
        <f aca="false">SUM(H5:H20)</f>
        <v>104.14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7" min="4" style="0" width="22"/>
  </cols>
  <sheetData>
    <row r="1" customFormat="false" ht="37.5" hidden="false" customHeight="true" outlineLevel="0" collapsed="false">
      <c r="A1" s="92" t="s">
        <v>206</v>
      </c>
      <c r="B1" s="92"/>
      <c r="C1" s="92"/>
      <c r="D1" s="92"/>
      <c r="E1" s="92"/>
      <c r="F1" s="92"/>
      <c r="G1" s="92"/>
    </row>
    <row r="2" customFormat="false" ht="25.5" hidden="false" customHeight="true" outlineLevel="0" collapsed="false">
      <c r="A2" s="93" t="s">
        <v>207</v>
      </c>
      <c r="B2" s="93"/>
      <c r="C2" s="93"/>
      <c r="D2" s="93"/>
      <c r="E2" s="93"/>
      <c r="F2" s="93"/>
      <c r="G2" s="93"/>
    </row>
    <row r="4" customFormat="false" ht="39.75" hidden="false" customHeight="true" outlineLevel="0" collapsed="false">
      <c r="A4" s="94" t="s">
        <v>61</v>
      </c>
      <c r="B4" s="94" t="s">
        <v>3</v>
      </c>
      <c r="C4" s="94" t="s">
        <v>202</v>
      </c>
      <c r="D4" s="94" t="s">
        <v>208</v>
      </c>
      <c r="E4" s="94" t="s">
        <v>209</v>
      </c>
      <c r="F4" s="94" t="s">
        <v>210</v>
      </c>
      <c r="G4" s="94" t="s">
        <v>211</v>
      </c>
    </row>
    <row r="5" customFormat="false" ht="23.85" hidden="false" customHeight="false" outlineLevel="0" collapsed="false">
      <c r="A5" s="4" t="n">
        <v>1</v>
      </c>
      <c r="B5" s="95" t="str">
        <f aca="false">'1. Master Dashboard'!B5</f>
        <v>Replace old motors with energy-efficient motors</v>
      </c>
      <c r="C5" s="86" t="n">
        <f aca="false">'1. Master Dashboard'!D5</f>
        <v>20000</v>
      </c>
      <c r="D5" s="96" t="n">
        <f aca="false">C5*0.82/1000</f>
        <v>16.4</v>
      </c>
      <c r="E5" s="11" t="n">
        <f aca="false">C5*0.005</f>
        <v>100</v>
      </c>
      <c r="F5" s="11" t="n">
        <f aca="false">C5*0.003</f>
        <v>60</v>
      </c>
      <c r="G5" s="41" t="n">
        <f aca="false">IF(D5&gt;0,D5*1000/22,0)</f>
        <v>745.454545454546</v>
      </c>
    </row>
    <row r="6" customFormat="false" ht="23.85" hidden="false" customHeight="false" outlineLevel="0" collapsed="false">
      <c r="A6" s="12" t="n">
        <v>2</v>
      </c>
      <c r="B6" s="97" t="str">
        <f aca="false">'1. Master Dashboard'!B6</f>
        <v>Replace conventional chokes with electronic chokes</v>
      </c>
      <c r="C6" s="87" t="n">
        <f aca="false">'1. Master Dashboard'!D6</f>
        <v>5000</v>
      </c>
      <c r="D6" s="98" t="n">
        <f aca="false">C6*0.82/1000</f>
        <v>4.1</v>
      </c>
      <c r="E6" s="19" t="n">
        <f aca="false">C6*0.005</f>
        <v>25</v>
      </c>
      <c r="F6" s="19" t="n">
        <f aca="false">C6*0.003</f>
        <v>15</v>
      </c>
      <c r="G6" s="43" t="n">
        <f aca="false">IF(D6&gt;0,D6*1000/22,0)</f>
        <v>186.363636363636</v>
      </c>
    </row>
    <row r="7" customFormat="false" ht="15" hidden="false" customHeight="false" outlineLevel="0" collapsed="false">
      <c r="A7" s="4" t="n">
        <v>3</v>
      </c>
      <c r="B7" s="95" t="str">
        <f aca="false">'1. Master Dashboard'!B7</f>
        <v>Use motion sensors in corridors &amp; toilets</v>
      </c>
      <c r="C7" s="86" t="n">
        <f aca="false">'1. Master Dashboard'!D7</f>
        <v>12000</v>
      </c>
      <c r="D7" s="96" t="n">
        <f aca="false">C7*0.82/1000</f>
        <v>9.84</v>
      </c>
      <c r="E7" s="11" t="n">
        <f aca="false">C7*0.005</f>
        <v>60</v>
      </c>
      <c r="F7" s="11" t="n">
        <f aca="false">C7*0.003</f>
        <v>36</v>
      </c>
      <c r="G7" s="41" t="n">
        <f aca="false">IF(D7&gt;0,D7*1000/22,0)</f>
        <v>447.272727272727</v>
      </c>
    </row>
    <row r="8" customFormat="false" ht="15" hidden="false" customHeight="false" outlineLevel="0" collapsed="false">
      <c r="A8" s="12" t="n">
        <v>4</v>
      </c>
      <c r="B8" s="97" t="str">
        <f aca="false">'1. Master Dashboard'!B8</f>
        <v>Replace all FTLs with LED lights</v>
      </c>
      <c r="C8" s="87" t="n">
        <f aca="false">'1. Master Dashboard'!D8</f>
        <v>36000</v>
      </c>
      <c r="D8" s="98" t="n">
        <f aca="false">C8*0.82/1000</f>
        <v>29.52</v>
      </c>
      <c r="E8" s="19" t="n">
        <f aca="false">C8*0.005</f>
        <v>180</v>
      </c>
      <c r="F8" s="19" t="n">
        <f aca="false">C8*0.003</f>
        <v>108</v>
      </c>
      <c r="G8" s="43" t="n">
        <f aca="false">IF(D8&gt;0,D8*1000/22,0)</f>
        <v>1341.81818181818</v>
      </c>
    </row>
    <row r="9" customFormat="false" ht="23.85" hidden="false" customHeight="false" outlineLevel="0" collapsed="false">
      <c r="A9" s="4" t="n">
        <v>5</v>
      </c>
      <c r="B9" s="95" t="str">
        <f aca="false">'1. Master Dashboard'!B9</f>
        <v>Replace laser printers with inkjet printers</v>
      </c>
      <c r="C9" s="86" t="n">
        <f aca="false">'1. Master Dashboard'!D9</f>
        <v>4000</v>
      </c>
      <c r="D9" s="96" t="n">
        <f aca="false">C9*0.82/1000</f>
        <v>3.28</v>
      </c>
      <c r="E9" s="11" t="n">
        <f aca="false">C9*0.005</f>
        <v>20</v>
      </c>
      <c r="F9" s="11" t="n">
        <f aca="false">C9*0.003</f>
        <v>12</v>
      </c>
      <c r="G9" s="41" t="n">
        <f aca="false">IF(D9&gt;0,D9*1000/22,0)</f>
        <v>149.090909090909</v>
      </c>
    </row>
    <row r="10" customFormat="false" ht="23.85" hidden="false" customHeight="false" outlineLevel="0" collapsed="false">
      <c r="A10" s="12" t="n">
        <v>6</v>
      </c>
      <c r="B10" s="97" t="str">
        <f aca="false">'1. Master Dashboard'!B10</f>
        <v>Replace CRT monitors with LCD/LED monitors</v>
      </c>
      <c r="C10" s="87" t="n">
        <f aca="false">'1. Master Dashboard'!D10</f>
        <v>10000</v>
      </c>
      <c r="D10" s="98" t="n">
        <f aca="false">C10*0.82/1000</f>
        <v>8.2</v>
      </c>
      <c r="E10" s="19" t="n">
        <f aca="false">C10*0.005</f>
        <v>50</v>
      </c>
      <c r="F10" s="19" t="n">
        <f aca="false">C10*0.003</f>
        <v>30</v>
      </c>
      <c r="G10" s="43" t="n">
        <f aca="false">IF(D10&gt;0,D10*1000/22,0)</f>
        <v>372.727272727273</v>
      </c>
    </row>
    <row r="11" customFormat="false" ht="23.85" hidden="false" customHeight="false" outlineLevel="0" collapsed="false">
      <c r="A11" s="4" t="n">
        <v>7</v>
      </c>
      <c r="B11" s="95" t="str">
        <f aca="false">'1. Master Dashboard'!B11</f>
        <v>Replace old UPS with energy-efficient UPS</v>
      </c>
      <c r="C11" s="86" t="n">
        <f aca="false">'1. Master Dashboard'!D11</f>
        <v>8000</v>
      </c>
      <c r="D11" s="96" t="n">
        <f aca="false">C11*0.82/1000</f>
        <v>6.56</v>
      </c>
      <c r="E11" s="11" t="n">
        <f aca="false">C11*0.005</f>
        <v>40</v>
      </c>
      <c r="F11" s="11" t="n">
        <f aca="false">C11*0.003</f>
        <v>24</v>
      </c>
      <c r="G11" s="41" t="n">
        <f aca="false">IF(D11&gt;0,D11*1000/22,0)</f>
        <v>298.181818181818</v>
      </c>
    </row>
    <row r="12" customFormat="false" ht="15" hidden="false" customHeight="false" outlineLevel="0" collapsed="false">
      <c r="A12" s="12" t="n">
        <v>8</v>
      </c>
      <c r="B12" s="97" t="str">
        <f aca="false">'1. Master Dashboard'!B12</f>
        <v>Regular maintenance of batteries</v>
      </c>
      <c r="C12" s="87" t="n">
        <f aca="false">'1. Master Dashboard'!D12</f>
        <v>3000</v>
      </c>
      <c r="D12" s="98" t="n">
        <f aca="false">C12*0.82/1000</f>
        <v>2.46</v>
      </c>
      <c r="E12" s="19" t="n">
        <f aca="false">C12*0.005</f>
        <v>15</v>
      </c>
      <c r="F12" s="19" t="n">
        <f aca="false">C12*0.003</f>
        <v>9</v>
      </c>
      <c r="G12" s="43" t="n">
        <f aca="false">IF(D12&gt;0,D12*1000/22,0)</f>
        <v>111.818181818182</v>
      </c>
    </row>
    <row r="13" customFormat="false" ht="23.85" hidden="false" customHeight="false" outlineLevel="0" collapsed="false">
      <c r="A13" s="4" t="n">
        <v>9</v>
      </c>
      <c r="B13" s="95" t="str">
        <f aca="false">'1. Master Dashboard'!B13</f>
        <v>Automate appliances with smart assistants</v>
      </c>
      <c r="C13" s="86" t="n">
        <f aca="false">'1. Master Dashboard'!D13</f>
        <v>2000</v>
      </c>
      <c r="D13" s="96" t="n">
        <f aca="false">C13*0.82/1000</f>
        <v>1.64</v>
      </c>
      <c r="E13" s="11" t="n">
        <f aca="false">C13*0.005</f>
        <v>10</v>
      </c>
      <c r="F13" s="11" t="n">
        <f aca="false">C13*0.003</f>
        <v>6</v>
      </c>
      <c r="G13" s="41" t="n">
        <f aca="false">IF(D13&gt;0,D13*1000/22,0)</f>
        <v>74.5454545454546</v>
      </c>
    </row>
    <row r="14" customFormat="false" ht="15" hidden="false" customHeight="false" outlineLevel="0" collapsed="false">
      <c r="A14" s="12" t="n">
        <v>10</v>
      </c>
      <c r="B14" s="97" t="str">
        <f aca="false">'1. Master Dashboard'!B14</f>
        <v>Increase natural lighting</v>
      </c>
      <c r="C14" s="87" t="n">
        <f aca="false">'1. Master Dashboard'!D14</f>
        <v>1500</v>
      </c>
      <c r="D14" s="98" t="n">
        <f aca="false">C14*0.82/1000</f>
        <v>1.23</v>
      </c>
      <c r="E14" s="19" t="n">
        <f aca="false">C14*0.005</f>
        <v>7.5</v>
      </c>
      <c r="F14" s="19" t="n">
        <f aca="false">C14*0.003</f>
        <v>4.5</v>
      </c>
      <c r="G14" s="43" t="n">
        <f aca="false">IF(D14&gt;0,D14*1000/22,0)</f>
        <v>55.9090909090909</v>
      </c>
    </row>
    <row r="15" customFormat="false" ht="15" hidden="false" customHeight="false" outlineLevel="0" collapsed="false">
      <c r="A15" s="4" t="n">
        <v>11</v>
      </c>
      <c r="B15" s="95" t="str">
        <f aca="false">'1. Master Dashboard'!B15</f>
        <v>Switch out incandescent lights</v>
      </c>
      <c r="C15" s="86" t="n">
        <f aca="false">'1. Master Dashboard'!D15</f>
        <v>6000</v>
      </c>
      <c r="D15" s="96" t="n">
        <f aca="false">C15*0.82/1000</f>
        <v>4.92</v>
      </c>
      <c r="E15" s="11" t="n">
        <f aca="false">C15*0.005</f>
        <v>30</v>
      </c>
      <c r="F15" s="11" t="n">
        <f aca="false">C15*0.003</f>
        <v>18</v>
      </c>
      <c r="G15" s="41" t="n">
        <f aca="false">IF(D15&gt;0,D15*1000/22,0)</f>
        <v>223.636363636364</v>
      </c>
    </row>
    <row r="16" customFormat="false" ht="15" hidden="false" customHeight="false" outlineLevel="0" collapsed="false">
      <c r="A16" s="12" t="n">
        <v>12</v>
      </c>
      <c r="B16" s="97" t="str">
        <f aca="false">'1. Master Dashboard'!B16</f>
        <v>Unplug battery chargers when not in use</v>
      </c>
      <c r="C16" s="87" t="n">
        <f aca="false">'1. Master Dashboard'!D16</f>
        <v>1000</v>
      </c>
      <c r="D16" s="98" t="n">
        <f aca="false">C16*0.82/1000</f>
        <v>0.82</v>
      </c>
      <c r="E16" s="19" t="n">
        <f aca="false">C16*0.005</f>
        <v>5</v>
      </c>
      <c r="F16" s="19" t="n">
        <f aca="false">C16*0.003</f>
        <v>3</v>
      </c>
      <c r="G16" s="43" t="n">
        <f aca="false">IF(D16&gt;0,D16*1000/22,0)</f>
        <v>37.2727272727273</v>
      </c>
    </row>
    <row r="17" customFormat="false" ht="15" hidden="false" customHeight="false" outlineLevel="0" collapsed="false">
      <c r="A17" s="4" t="n">
        <v>13</v>
      </c>
      <c r="B17" s="95" t="str">
        <f aca="false">'1. Master Dashboard'!B17</f>
        <v>Automate thermostat by time of day</v>
      </c>
      <c r="C17" s="86" t="n">
        <f aca="false">'1. Master Dashboard'!D17</f>
        <v>7000</v>
      </c>
      <c r="D17" s="96" t="n">
        <f aca="false">C17*0.82/1000</f>
        <v>5.74</v>
      </c>
      <c r="E17" s="11" t="n">
        <f aca="false">C17*0.005</f>
        <v>35</v>
      </c>
      <c r="F17" s="11" t="n">
        <f aca="false">C17*0.003</f>
        <v>21</v>
      </c>
      <c r="G17" s="41" t="n">
        <f aca="false">IF(D17&gt;0,D17*1000/22,0)</f>
        <v>260.909090909091</v>
      </c>
    </row>
    <row r="18" customFormat="false" ht="15" hidden="false" customHeight="false" outlineLevel="0" collapsed="false">
      <c r="A18" s="12" t="n">
        <v>14</v>
      </c>
      <c r="B18" s="97" t="str">
        <f aca="false">'1. Master Dashboard'!B18</f>
        <v>Set computers to sleep/hibernate mode</v>
      </c>
      <c r="C18" s="87" t="n">
        <f aca="false">'1. Master Dashboard'!D18</f>
        <v>5000</v>
      </c>
      <c r="D18" s="98" t="n">
        <f aca="false">C18*0.82/1000</f>
        <v>4.1</v>
      </c>
      <c r="E18" s="19" t="n">
        <f aca="false">C18*0.005</f>
        <v>25</v>
      </c>
      <c r="F18" s="19" t="n">
        <f aca="false">C18*0.003</f>
        <v>15</v>
      </c>
      <c r="G18" s="43" t="n">
        <f aca="false">IF(D18&gt;0,D18*1000/22,0)</f>
        <v>186.363636363636</v>
      </c>
    </row>
    <row r="19" customFormat="false" ht="23.85" hidden="false" customHeight="false" outlineLevel="0" collapsed="false">
      <c r="A19" s="4" t="n">
        <v>15</v>
      </c>
      <c r="B19" s="95" t="str">
        <f aca="false">'1. Master Dashboard'!B19</f>
        <v>Use electric kettles instead of microwaves</v>
      </c>
      <c r="C19" s="86" t="n">
        <f aca="false">'1. Master Dashboard'!D19</f>
        <v>2500</v>
      </c>
      <c r="D19" s="96" t="n">
        <f aca="false">C19*0.82/1000</f>
        <v>2.05</v>
      </c>
      <c r="E19" s="11" t="n">
        <f aca="false">C19*0.005</f>
        <v>12.5</v>
      </c>
      <c r="F19" s="11" t="n">
        <f aca="false">C19*0.003</f>
        <v>7.5</v>
      </c>
      <c r="G19" s="41" t="n">
        <f aca="false">IF(D19&gt;0,D19*1000/22,0)</f>
        <v>93.1818181818182</v>
      </c>
    </row>
    <row r="20" customFormat="false" ht="15" hidden="false" customHeight="false" outlineLevel="0" collapsed="false">
      <c r="A20" s="12" t="n">
        <v>16</v>
      </c>
      <c r="B20" s="97" t="str">
        <f aca="false">'1. Master Dashboard'!B20</f>
        <v>Install low-flow showerheads in hostels</v>
      </c>
      <c r="C20" s="87" t="n">
        <f aca="false">'1. Master Dashboard'!D20</f>
        <v>4000</v>
      </c>
      <c r="D20" s="98" t="n">
        <f aca="false">C20*0.82/1000</f>
        <v>3.28</v>
      </c>
      <c r="E20" s="19" t="n">
        <f aca="false">C20*0.005</f>
        <v>20</v>
      </c>
      <c r="F20" s="19" t="n">
        <f aca="false">C20*0.003</f>
        <v>12</v>
      </c>
      <c r="G20" s="43" t="n">
        <f aca="false">IF(D20&gt;0,D20*1000/22,0)</f>
        <v>149.090909090909</v>
      </c>
    </row>
    <row r="21" customFormat="false" ht="15" hidden="false" customHeight="false" outlineLevel="0" collapsed="false">
      <c r="A21" s="99"/>
      <c r="B21" s="94" t="s">
        <v>212</v>
      </c>
      <c r="C21" s="100" t="n">
        <f aca="false">SUM(C5:C20)</f>
        <v>127000</v>
      </c>
      <c r="D21" s="100" t="n">
        <f aca="false">SUM(D5:D20)</f>
        <v>104.14</v>
      </c>
      <c r="E21" s="100" t="n">
        <f aca="false">SUM(E5:E20)</f>
        <v>635</v>
      </c>
      <c r="F21" s="100" t="n">
        <f aca="false">SUM(F5:F20)</f>
        <v>381</v>
      </c>
      <c r="G21" s="100" t="n">
        <f aca="false">SUM(G5:G20)</f>
        <v>4733.63636363636</v>
      </c>
    </row>
    <row r="22" customFormat="false" ht="15" hidden="false" customHeight="false" outlineLevel="0" collapsed="false">
      <c r="A22" s="101"/>
      <c r="B22" s="102" t="s">
        <v>213</v>
      </c>
      <c r="C22" s="103" t="n">
        <f aca="false">C21*10</f>
        <v>1270000</v>
      </c>
      <c r="D22" s="103" t="n">
        <f aca="false">D21*10</f>
        <v>1041.4</v>
      </c>
      <c r="E22" s="103" t="n">
        <f aca="false">E21*10</f>
        <v>6350</v>
      </c>
      <c r="F22" s="103" t="n">
        <f aca="false">F21*10</f>
        <v>3810</v>
      </c>
      <c r="G22" s="103" t="n">
        <f aca="false">G21*10</f>
        <v>47336.3636363636</v>
      </c>
    </row>
    <row r="23" customFormat="false" ht="15" hidden="false" customHeight="false" outlineLevel="0" collapsed="false">
      <c r="A23" s="104"/>
      <c r="B23" s="67" t="s">
        <v>214</v>
      </c>
      <c r="C23" s="105" t="n">
        <f aca="false">C21*25</f>
        <v>3175000</v>
      </c>
      <c r="D23" s="105" t="n">
        <f aca="false">D21*25</f>
        <v>2603.5</v>
      </c>
      <c r="E23" s="105" t="n">
        <f aca="false">E21*25</f>
        <v>15875</v>
      </c>
      <c r="F23" s="105" t="n">
        <f aca="false">F21*25</f>
        <v>9525</v>
      </c>
      <c r="G23" s="105" t="n">
        <f aca="false">G21*25</f>
        <v>118340.909090909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106" t="s">
        <v>215</v>
      </c>
      <c r="B1" s="106"/>
      <c r="C1" s="106"/>
      <c r="D1" s="106"/>
      <c r="E1" s="106"/>
      <c r="F1" s="106"/>
    </row>
    <row r="2" customFormat="false" ht="25.5" hidden="false" customHeight="true" outlineLevel="0" collapsed="false">
      <c r="A2" s="73" t="s">
        <v>216</v>
      </c>
      <c r="B2" s="73"/>
      <c r="C2" s="73"/>
      <c r="D2" s="73"/>
      <c r="E2" s="73"/>
      <c r="F2" s="73"/>
    </row>
    <row r="3" customFormat="false" ht="39.75" hidden="false" customHeight="true" outlineLevel="0" collapsed="false">
      <c r="A3" s="107" t="s">
        <v>61</v>
      </c>
      <c r="B3" s="107" t="s">
        <v>217</v>
      </c>
      <c r="C3" s="107" t="s">
        <v>218</v>
      </c>
      <c r="D3" s="107" t="s">
        <v>219</v>
      </c>
      <c r="E3" s="107" t="s">
        <v>220</v>
      </c>
      <c r="F3" s="107" t="s">
        <v>221</v>
      </c>
    </row>
    <row r="4" customFormat="false" ht="33.75" hidden="false" customHeight="true" outlineLevel="0" collapsed="false">
      <c r="A4" s="14" t="n">
        <v>1</v>
      </c>
      <c r="B4" s="13" t="s">
        <v>222</v>
      </c>
      <c r="C4" s="75" t="s">
        <v>223</v>
      </c>
      <c r="D4" s="65"/>
      <c r="E4" s="65"/>
      <c r="F4" s="65"/>
    </row>
    <row r="5" customFormat="false" ht="33.75" hidden="false" customHeight="true" outlineLevel="0" collapsed="false">
      <c r="A5" s="6" t="n">
        <v>2</v>
      </c>
      <c r="B5" s="5" t="s">
        <v>224</v>
      </c>
      <c r="C5" s="79" t="s">
        <v>225</v>
      </c>
      <c r="D5" s="61"/>
      <c r="E5" s="61"/>
      <c r="F5" s="61"/>
    </row>
    <row r="6" customFormat="false" ht="33.75" hidden="false" customHeight="true" outlineLevel="0" collapsed="false">
      <c r="A6" s="14" t="n">
        <v>3</v>
      </c>
      <c r="B6" s="13" t="s">
        <v>226</v>
      </c>
      <c r="C6" s="75" t="s">
        <v>227</v>
      </c>
      <c r="D6" s="65"/>
      <c r="E6" s="65"/>
      <c r="F6" s="65"/>
    </row>
    <row r="7" customFormat="false" ht="33.75" hidden="false" customHeight="true" outlineLevel="0" collapsed="false">
      <c r="A7" s="6" t="n">
        <v>4</v>
      </c>
      <c r="B7" s="5" t="s">
        <v>228</v>
      </c>
      <c r="C7" s="79" t="s">
        <v>229</v>
      </c>
      <c r="D7" s="61"/>
      <c r="E7" s="61"/>
      <c r="F7" s="61"/>
    </row>
    <row r="8" customFormat="false" ht="33.75" hidden="false" customHeight="true" outlineLevel="0" collapsed="false">
      <c r="A8" s="14" t="n">
        <v>5</v>
      </c>
      <c r="B8" s="13" t="s">
        <v>230</v>
      </c>
      <c r="C8" s="75" t="s">
        <v>231</v>
      </c>
      <c r="D8" s="65"/>
      <c r="E8" s="65"/>
      <c r="F8" s="65"/>
    </row>
    <row r="9" customFormat="false" ht="33.75" hidden="false" customHeight="true" outlineLevel="0" collapsed="false">
      <c r="A9" s="6" t="n">
        <v>6</v>
      </c>
      <c r="B9" s="5" t="s">
        <v>232</v>
      </c>
      <c r="C9" s="79" t="s">
        <v>233</v>
      </c>
      <c r="D9" s="61"/>
      <c r="E9" s="61"/>
      <c r="F9" s="61"/>
    </row>
    <row r="10" customFormat="false" ht="33.75" hidden="false" customHeight="true" outlineLevel="0" collapsed="false">
      <c r="A10" s="14" t="n">
        <v>7</v>
      </c>
      <c r="B10" s="13" t="s">
        <v>234</v>
      </c>
      <c r="C10" s="75" t="s">
        <v>235</v>
      </c>
      <c r="D10" s="65"/>
      <c r="E10" s="65"/>
      <c r="F10" s="65"/>
    </row>
    <row r="11" customFormat="false" ht="33.75" hidden="false" customHeight="true" outlineLevel="0" collapsed="false">
      <c r="A11" s="6" t="n">
        <v>8</v>
      </c>
      <c r="B11" s="5" t="s">
        <v>236</v>
      </c>
      <c r="C11" s="79" t="s">
        <v>237</v>
      </c>
      <c r="D11" s="61"/>
      <c r="E11" s="61"/>
      <c r="F11" s="61"/>
    </row>
    <row r="12" customFormat="false" ht="33.75" hidden="false" customHeight="true" outlineLevel="0" collapsed="false">
      <c r="A12" s="14" t="n">
        <v>9</v>
      </c>
      <c r="B12" s="13" t="s">
        <v>238</v>
      </c>
      <c r="C12" s="75" t="s">
        <v>239</v>
      </c>
      <c r="D12" s="65"/>
      <c r="E12" s="65"/>
      <c r="F12" s="65"/>
    </row>
    <row r="13" customFormat="false" ht="33.75" hidden="false" customHeight="true" outlineLevel="0" collapsed="false">
      <c r="A13" s="6" t="n">
        <v>10</v>
      </c>
      <c r="B13" s="5" t="s">
        <v>240</v>
      </c>
      <c r="C13" s="79" t="s">
        <v>241</v>
      </c>
      <c r="D13" s="61"/>
      <c r="E13" s="61"/>
      <c r="F13" s="61"/>
    </row>
    <row r="14" customFormat="false" ht="33.75" hidden="false" customHeight="true" outlineLevel="0" collapsed="false">
      <c r="A14" s="14" t="n">
        <v>11</v>
      </c>
      <c r="B14" s="13" t="s">
        <v>242</v>
      </c>
      <c r="C14" s="75" t="s">
        <v>243</v>
      </c>
      <c r="D14" s="65"/>
      <c r="E14" s="65"/>
      <c r="F14" s="65"/>
    </row>
    <row r="15" customFormat="false" ht="33.75" hidden="false" customHeight="true" outlineLevel="0" collapsed="false">
      <c r="A15" s="6" t="n">
        <v>12</v>
      </c>
      <c r="B15" s="5" t="s">
        <v>244</v>
      </c>
      <c r="C15" s="79" t="s">
        <v>245</v>
      </c>
      <c r="D15" s="61"/>
      <c r="E15" s="61"/>
      <c r="F15" s="61"/>
    </row>
    <row r="16" customFormat="false" ht="33.75" hidden="false" customHeight="true" outlineLevel="0" collapsed="false">
      <c r="A16" s="14" t="n">
        <v>13</v>
      </c>
      <c r="B16" s="13" t="s">
        <v>246</v>
      </c>
      <c r="C16" s="75" t="s">
        <v>247</v>
      </c>
      <c r="D16" s="65"/>
      <c r="E16" s="65"/>
      <c r="F16" s="65"/>
    </row>
    <row r="17" customFormat="false" ht="33.75" hidden="false" customHeight="true" outlineLevel="0" collapsed="false">
      <c r="A17" s="6" t="n">
        <v>14</v>
      </c>
      <c r="B17" s="5" t="s">
        <v>248</v>
      </c>
      <c r="C17" s="79" t="s">
        <v>249</v>
      </c>
      <c r="D17" s="61"/>
      <c r="E17" s="61"/>
      <c r="F17" s="61"/>
    </row>
    <row r="18" customFormat="false" ht="33.75" hidden="false" customHeight="true" outlineLevel="0" collapsed="false">
      <c r="A18" s="14" t="n">
        <v>15</v>
      </c>
      <c r="B18" s="13" t="s">
        <v>250</v>
      </c>
      <c r="C18" s="75" t="s">
        <v>251</v>
      </c>
      <c r="D18" s="65"/>
      <c r="E18" s="65"/>
      <c r="F18" s="65"/>
    </row>
    <row r="19" customFormat="false" ht="33.75" hidden="false" customHeight="true" outlineLevel="0" collapsed="false">
      <c r="A19" s="6" t="n">
        <v>16</v>
      </c>
      <c r="B19" s="5" t="s">
        <v>252</v>
      </c>
      <c r="C19" s="79" t="s">
        <v>253</v>
      </c>
      <c r="D19" s="61"/>
      <c r="E19" s="61"/>
      <c r="F19" s="61"/>
    </row>
    <row r="20" customFormat="false" ht="33.75" hidden="false" customHeight="true" outlineLevel="0" collapsed="false">
      <c r="A20" s="14" t="n">
        <v>17</v>
      </c>
      <c r="B20" s="13" t="s">
        <v>254</v>
      </c>
      <c r="C20" s="75" t="s">
        <v>255</v>
      </c>
      <c r="D20" s="65"/>
      <c r="E20" s="65"/>
      <c r="F20" s="65"/>
    </row>
    <row r="21" customFormat="false" ht="33.75" hidden="false" customHeight="true" outlineLevel="0" collapsed="false">
      <c r="A21" s="6" t="n">
        <v>18</v>
      </c>
      <c r="B21" s="5" t="s">
        <v>256</v>
      </c>
      <c r="C21" s="79" t="s">
        <v>257</v>
      </c>
      <c r="D21" s="61"/>
      <c r="E21" s="61"/>
      <c r="F21" s="61"/>
    </row>
    <row r="22" customFormat="false" ht="33.75" hidden="false" customHeight="true" outlineLevel="0" collapsed="false">
      <c r="A22" s="14" t="n">
        <v>19</v>
      </c>
      <c r="B22" s="13" t="s">
        <v>258</v>
      </c>
      <c r="C22" s="75" t="s">
        <v>259</v>
      </c>
      <c r="D22" s="65"/>
      <c r="E22" s="65"/>
      <c r="F22" s="65"/>
    </row>
    <row r="23" customFormat="false" ht="33.75" hidden="false" customHeight="true" outlineLevel="0" collapsed="false">
      <c r="A23" s="6" t="n">
        <v>20</v>
      </c>
      <c r="B23" s="5" t="s">
        <v>260</v>
      </c>
      <c r="C23" s="79" t="s">
        <v>261</v>
      </c>
      <c r="D23" s="61"/>
      <c r="E23" s="61"/>
      <c r="F23" s="61"/>
    </row>
    <row r="25" customFormat="false" ht="15" hidden="false" customHeight="true" outlineLevel="0" collapsed="false">
      <c r="A25" s="28" t="s">
        <v>262</v>
      </c>
      <c r="B25" s="28"/>
      <c r="C25" s="28"/>
      <c r="D25" s="31" t="n">
        <f aca="false">COUNTIF(D4:D23,"✓")</f>
        <v>0</v>
      </c>
      <c r="E25" s="24"/>
      <c r="F25" s="24"/>
    </row>
    <row r="26" customFormat="false" ht="15" hidden="false" customHeight="true" outlineLevel="0" collapsed="false">
      <c r="A26" s="28" t="s">
        <v>263</v>
      </c>
      <c r="B26" s="28"/>
      <c r="C26" s="28"/>
      <c r="D26" s="31" t="n">
        <f aca="false">IFERROR(COUNTIF(D4:D23,"✓")/20*100,0)</f>
        <v>0</v>
      </c>
      <c r="E26" s="24"/>
      <c r="F26" s="24"/>
    </row>
  </sheetData>
  <mergeCells count="4">
    <mergeCell ref="A1:F1"/>
    <mergeCell ref="A2:F2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2026-06-08T14:07:07Z</dcterms:created>
  <dc:creator>openpyxl</dc:creator>
  <dc:description/>
  <dc:language>en-US</dc:language>
  <cp:lastModifiedBy/>
  <dcterms:modified xsi:type="dcterms:W3CDTF">2026-06-08T14:07:08Z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