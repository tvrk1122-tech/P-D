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Technical Reference" sheetId="1" state="visible" r:id="rId3"/>
    <sheet name="2. Tap Inventory &amp; Savings" sheetId="2" state="visible" r:id="rId4"/>
    <sheet name="3. Comparison Analysis" sheetId="3" state="visible" r:id="rId5"/>
    <sheet name="4. YoY Trend" sheetId="4" state="visible" r:id="rId6"/>
    <sheet name="5. Audit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<sst xmlns="http://schemas.openxmlformats.org/spreadsheetml/2006/main" count="294" uniqueCount="257">
  <si>
    <t xml:space="preserve">Spring Loaded Push Taps (Self-Closing Taps) — Technical Reference &amp; Savings Model</t>
  </si>
  <si>
    <t xml:space="preserve">Mechanical Self-Closing | 30–40% Water Saving | NAAC Green Campus | Zero Electricity</t>
  </si>
  <si>
    <t xml:space="preserve">#</t>
  </si>
  <si>
    <t xml:space="preserve">Parameter</t>
  </si>
  <si>
    <t xml:space="preserve">Description / Specification</t>
  </si>
  <si>
    <t xml:space="preserve">Value</t>
  </si>
  <si>
    <t xml:space="preserve">Working Mechanism</t>
  </si>
  <si>
    <t xml:space="preserve">Push button/knob pressed → spring releases water → auto-returns to closed position after preset duration. Purely mechanical — no electricity or batteries required.</t>
  </si>
  <si>
    <t xml:space="preserve">Mechanical spring</t>
  </si>
  <si>
    <t xml:space="preserve">Flow Duration</t>
  </si>
  <si>
    <t xml:space="preserve">Water flows for a preset duration after each push. Adjustable on most models. Standard setting for handwash in institutional use.</t>
  </si>
  <si>
    <t xml:space="preserve">5–7 seconds</t>
  </si>
  <si>
    <t xml:space="preserve">Flow Rate</t>
  </si>
  <si>
    <t xml:space="preserve">Standard institutional tap flow rate. Push taps use same supply pressure but limit DURATION, not flow rate.</t>
  </si>
  <si>
    <t xml:space="preserve">8 L/min (typical)</t>
  </si>
  <si>
    <t xml:space="preserve">Water per Push-Wash</t>
  </si>
  <si>
    <t xml:space="preserve">Flow rate × duration ÷ 60 = litres per single wash. At 8 L/min × 5 sec = 0.67 L per wash.</t>
  </si>
  <si>
    <t xml:space="preserve">0.67 L (at 5 sec)</t>
  </si>
  <si>
    <t xml:space="preserve">Conventional Tap per Wash</t>
  </si>
  <si>
    <t xml:space="preserve">Average hand wash with conventional tap left running. At 8 L/min × 20 sec = 2.67 L per wash.</t>
  </si>
  <si>
    <t xml:space="preserve">2.67 L (at 20 sec)</t>
  </si>
  <si>
    <t xml:space="preserve">Water Saved per Wash</t>
  </si>
  <si>
    <t xml:space="preserve">Conventional − Push Tap = saving per single wash event.</t>
  </si>
  <si>
    <t xml:space="preserve">2.0 L per wash</t>
  </si>
  <si>
    <t xml:space="preserve">% Saving vs Conventional</t>
  </si>
  <si>
    <t xml:space="preserve">(Saved ÷ Conventional) × 100 = percentage reduction per wash.</t>
  </si>
  <si>
    <t xml:space="preserve">75% per wash event</t>
  </si>
  <si>
    <t xml:space="preserve">Typical Campus Scale</t>
  </si>
  <si>
    <t xml:space="preserve">For 1,000 uses/day: 2.0 L × 1,000 = 2,000 L/day saved = 60,000 L/month = 730 KL/year.</t>
  </si>
  <si>
    <t xml:space="preserve">2,000 L/day @ 1K uses</t>
  </si>
  <si>
    <t xml:space="preserve">Installation Type</t>
  </si>
  <si>
    <t xml:space="preserve">Retrofit: replaces conventional taps directly. Available in wall-mounted and basin-mounted.</t>
  </si>
  <si>
    <t xml:space="preserve">Wall / Basin mount</t>
  </si>
  <si>
    <t xml:space="preserve">Cost per Unit (Approx)</t>
  </si>
  <si>
    <t xml:space="preserve">₹300–800 per tap depending on brand, material (brass/SS), and type.</t>
  </si>
  <si>
    <t xml:space="preserve">₹300–800</t>
  </si>
  <si>
    <t xml:space="preserve">Maintenance</t>
  </si>
  <si>
    <t xml:space="preserve">Spring replacement every 2–3 years. Washer replacement annually. No electrical components.</t>
  </si>
  <si>
    <t xml:space="preserve">Low — mechanical only</t>
  </si>
  <si>
    <t xml:space="preserve">Lifespan</t>
  </si>
  <si>
    <t xml:space="preserve">Designed for heavy-use institutional environments. Vandal-resistant.</t>
  </si>
  <si>
    <t xml:space="preserve">5–10 years</t>
  </si>
  <si>
    <t xml:space="preserve">Hygiene Benefit</t>
  </si>
  <si>
    <t xml:space="preserve">User touches tap only to open (push); closes automatically. Reduces germ transmission.</t>
  </si>
  <si>
    <t xml:space="preserve">Self-closing = hygienic</t>
  </si>
  <si>
    <t xml:space="preserve">Applications in HEIs</t>
  </si>
  <si>
    <t xml:space="preserve">College washrooms, canteen hand-wash, lab wash areas, gym/sports washrooms, hostel common areas.</t>
  </si>
  <si>
    <t xml:space="preserve">All campus washrooms</t>
  </si>
  <si>
    <t xml:space="preserve">NAAC / Green Audit</t>
  </si>
  <si>
    <t xml:space="preserve">Supports NAAC 7.1.4 (Water Conservation Facilities), Green Campus Audit, Environment Audit.</t>
  </si>
  <si>
    <t xml:space="preserve">Criterion VII evidence</t>
  </si>
  <si>
    <t xml:space="preserve">Quick Savings Calculator — Enter Your Numbers</t>
  </si>
  <si>
    <t xml:space="preserve">Input Parameter</t>
  </si>
  <si>
    <t xml:space="preserve">Your Value</t>
  </si>
  <si>
    <t xml:space="preserve">Auto-Calculated Result</t>
  </si>
  <si>
    <t xml:space="preserve">Flow Rate (L/min)</t>
  </si>
  <si>
    <t xml:space="preserve">Enter or keep default</t>
  </si>
  <si>
    <t xml:space="preserve">Push Tap Duration (seconds)</t>
  </si>
  <si>
    <t xml:space="preserve">Conventional Tap Duration (seconds)</t>
  </si>
  <si>
    <t xml:space="preserve">Water per Push-Wash (L) [AUTO]</t>
  </si>
  <si>
    <t xml:space="preserve">Flow x Push Duration / 60</t>
  </si>
  <si>
    <t xml:space="preserve">Water per Conventional Wash (L) [AUTO]</t>
  </si>
  <si>
    <t xml:space="preserve">Water Saved per Wash (L) [AUTO]</t>
  </si>
  <si>
    <t xml:space="preserve">Total Push Taps on Campus</t>
  </si>
  <si>
    <t xml:space="preserve">Avg Uses per Tap per Day</t>
  </si>
  <si>
    <t xml:space="preserve">Total Uses per Day [AUTO]</t>
  </si>
  <si>
    <t xml:space="preserve">TOTAL WATER SAVED PER DAY (L)</t>
  </si>
  <si>
    <t xml:space="preserve">TOTAL SAVED PER MONTH (L)</t>
  </si>
  <si>
    <t xml:space="preserve">TOTAL SAVED PER YEAR (KL)</t>
  </si>
  <si>
    <t xml:space="preserve">Spring Loaded Push Tap — Location-Wise Inventory &amp; Auto-Calculated Savings</t>
  </si>
  <si>
    <t xml:space="preserve">Per-location: taps installed, flow rate, duration → water per wash, saving per wash, daily saving ALL AUTO</t>
  </si>
  <si>
    <t xml:space="preserve">S.No.</t>
  </si>
  <si>
    <t xml:space="preserve">Location of Tap</t>
  </si>
  <si>
    <t xml:space="preserve">Zone (Academic / Hostel / Support)</t>
  </si>
  <si>
    <t xml:space="preserve">No. of Push Taps</t>
  </si>
  <si>
    <t xml:space="preserve">Avg Flow Rate (L/min)</t>
  </si>
  <si>
    <t xml:space="preserve">Push Duration (sec)</t>
  </si>
  <si>
    <t xml:space="preserve">Conv. Tap Duration (sec)</t>
  </si>
  <si>
    <t xml:space="preserve">Water per Conv. Wash (L) [AUTO]</t>
  </si>
  <si>
    <t xml:space="preserve">Est. Uses per Tap / Day</t>
  </si>
  <si>
    <t xml:space="preserve">Total Uses / Day [AUTO]</t>
  </si>
  <si>
    <t xml:space="preserve">Total Water Saved / Day (L) [AUTO]</t>
  </si>
  <si>
    <t xml:space="preserve">Maintenance Status (Working / Needs Repair / Replaced)</t>
  </si>
  <si>
    <t xml:space="preserve">Remarks / Install Date</t>
  </si>
  <si>
    <t xml:space="preserve">College Washroom Block A</t>
  </si>
  <si>
    <t xml:space="preserve">Academic</t>
  </si>
  <si>
    <t xml:space="preserve">College Washroom Block B</t>
  </si>
  <si>
    <t xml:space="preserve">Science Lab Wash Area</t>
  </si>
  <si>
    <t xml:space="preserve">Library Washroom</t>
  </si>
  <si>
    <t xml:space="preserve">Canteen Hand-Wash Area</t>
  </si>
  <si>
    <t xml:space="preserve">Support</t>
  </si>
  <si>
    <t xml:space="preserve">Hostel A Common Washroom</t>
  </si>
  <si>
    <t xml:space="preserve">Hostel</t>
  </si>
  <si>
    <t xml:space="preserve">Hostel B Common Washroom</t>
  </si>
  <si>
    <t xml:space="preserve">Hostel C Common Washroom</t>
  </si>
  <si>
    <t xml:space="preserve">Hostel D Common Washroom</t>
  </si>
  <si>
    <t xml:space="preserve">Sports Complex / Gym</t>
  </si>
  <si>
    <t xml:space="preserve">Administrative Block</t>
  </si>
  <si>
    <t xml:space="preserve">Staff Room / Faculty Area</t>
  </si>
  <si>
    <t xml:space="preserve">Workshop / Engineering Lab</t>
  </si>
  <si>
    <t xml:space="preserve">Auditorium Washroom</t>
  </si>
  <si>
    <t xml:space="preserve">Guest House</t>
  </si>
  <si>
    <t xml:space="preserve">CAMPUS GRAND TOTALS</t>
  </si>
  <si>
    <t xml:space="preserve">TOTALS</t>
  </si>
  <si>
    <t xml:space="preserve">Total Water Saved per MONTH (L)</t>
  </si>
  <si>
    <t xml:space="preserve">Total Water Saved per YEAR (KL)</t>
  </si>
  <si>
    <t xml:space="preserve">Total Taps Working</t>
  </si>
  <si>
    <t xml:space="preserve">Taps Needing Repair</t>
  </si>
  <si>
    <t xml:space="preserve">Water Would Have Been Used (Conv.) per Day (L)</t>
  </si>
  <si>
    <t xml:space="preserve">% Saved vs Conventional</t>
  </si>
  <si>
    <t xml:space="preserve">Zone-Wise Savings Summary</t>
  </si>
  <si>
    <t xml:space="preserve">Zone</t>
  </si>
  <si>
    <t xml:space="preserve">Taps</t>
  </si>
  <si>
    <t xml:space="preserve">Uses/Day</t>
  </si>
  <si>
    <t xml:space="preserve">Saved/Day (L)</t>
  </si>
  <si>
    <t xml:space="preserve">Support Services</t>
  </si>
  <si>
    <t xml:space="preserve">Conventional Tap vs Spring-Loaded Push Tap — Side-by-Side Comparison</t>
  </si>
  <si>
    <t xml:space="preserve">Quantified impact: water, cost, hygiene, maintenance | Justification for investment</t>
  </si>
  <si>
    <t xml:space="preserve">Conventional Tap</t>
  </si>
  <si>
    <t xml:space="preserve">Push Tap</t>
  </si>
  <si>
    <t xml:space="preserve">Saving / Advantage</t>
  </si>
  <si>
    <t xml:space="preserve">% Improvement</t>
  </si>
  <si>
    <t xml:space="preserve">Investment Needed</t>
  </si>
  <si>
    <t xml:space="preserve">Payback</t>
  </si>
  <si>
    <t xml:space="preserve">Flow control</t>
  </si>
  <si>
    <t xml:space="preserve">User-dependent (left open)</t>
  </si>
  <si>
    <t xml:space="preserve">Auto-close 5–7 sec</t>
  </si>
  <si>
    <t xml:space="preserve">Eliminates waste</t>
  </si>
  <si>
    <t xml:space="preserve">Water per wash (L)</t>
  </si>
  <si>
    <t xml:space="preserve">2.67 (20 sec × 8 L/min)</t>
  </si>
  <si>
    <t xml:space="preserve">0.67 (5 sec × 8 L/min)</t>
  </si>
  <si>
    <t xml:space="preserve">75%</t>
  </si>
  <si>
    <t xml:space="preserve">Daily usage (1000 uses)</t>
  </si>
  <si>
    <t xml:space="preserve">2,670 L</t>
  </si>
  <si>
    <t xml:space="preserve">670 L</t>
  </si>
  <si>
    <t xml:space="preserve">2,000 L/day</t>
  </si>
  <si>
    <t xml:space="preserve">Monthly usage</t>
  </si>
  <si>
    <t xml:space="preserve">80,100 L</t>
  </si>
  <si>
    <t xml:space="preserve">20,100 L</t>
  </si>
  <si>
    <t xml:space="preserve">60,000 L/month</t>
  </si>
  <si>
    <t xml:space="preserve">Annual usage (KL)</t>
  </si>
  <si>
    <t xml:space="preserve">975 KL</t>
  </si>
  <si>
    <t xml:space="preserve">245 KL</t>
  </si>
  <si>
    <t xml:space="preserve">730 KL/year</t>
  </si>
  <si>
    <t xml:space="preserve">Annual water cost (@ ₹5/KL)</t>
  </si>
  <si>
    <t xml:space="preserve">₹4,875</t>
  </si>
  <si>
    <t xml:space="preserve">₹1,225</t>
  </si>
  <si>
    <t xml:space="preserve">₹3,650/year saved</t>
  </si>
  <si>
    <t xml:space="preserve">Hygiene</t>
  </si>
  <si>
    <t xml:space="preserve">Touch to open AND close</t>
  </si>
  <si>
    <t xml:space="preserve">Touch to open ONLY</t>
  </si>
  <si>
    <t xml:space="preserve">Less germ spread</t>
  </si>
  <si>
    <t xml:space="preserve">Significant</t>
  </si>
  <si>
    <t xml:space="preserve">Electricity needed</t>
  </si>
  <si>
    <t xml:space="preserve">No</t>
  </si>
  <si>
    <t xml:space="preserve">Same</t>
  </si>
  <si>
    <t xml:space="preserve">—</t>
  </si>
  <si>
    <t xml:space="preserve">Washer replacement</t>
  </si>
  <si>
    <t xml:space="preserve">Spring + washer replacement</t>
  </si>
  <si>
    <t xml:space="preserve">Slightly higher</t>
  </si>
  <si>
    <t xml:space="preserve">Manageable</t>
  </si>
  <si>
    <t xml:space="preserve">Vandal resistance</t>
  </si>
  <si>
    <t xml:space="preserve">Low</t>
  </si>
  <si>
    <t xml:space="preserve">High (mechanical)</t>
  </si>
  <si>
    <t xml:space="preserve">Better durability</t>
  </si>
  <si>
    <t xml:space="preserve">High</t>
  </si>
  <si>
    <t xml:space="preserve">Installation</t>
  </si>
  <si>
    <t xml:space="preserve">Standard</t>
  </si>
  <si>
    <t xml:space="preserve">Retrofit directly</t>
  </si>
  <si>
    <t xml:space="preserve">Easy upgrade</t>
  </si>
  <si>
    <t xml:space="preserve">Simple</t>
  </si>
  <si>
    <t xml:space="preserve">Cost per tap</t>
  </si>
  <si>
    <t xml:space="preserve">₹100–200</t>
  </si>
  <si>
    <t xml:space="preserve">₹200–600 premium</t>
  </si>
  <si>
    <t xml:space="preserve">3–5 years</t>
  </si>
  <si>
    <t xml:space="preserve">2× longer</t>
  </si>
  <si>
    <t xml:space="preserve">100%</t>
  </si>
  <si>
    <t xml:space="preserve">ROI Calculator — Is It Worth the Investment?</t>
  </si>
  <si>
    <t xml:space="preserve">Input</t>
  </si>
  <si>
    <t xml:space="preserve">Unit</t>
  </si>
  <si>
    <t xml:space="preserve">Total Push Taps to Install</t>
  </si>
  <si>
    <t xml:space="preserve">Nos.</t>
  </si>
  <si>
    <t xml:space="preserve">Cost per Tap (₹)</t>
  </si>
  <si>
    <t xml:space="preserve">₹</t>
  </si>
  <si>
    <t xml:space="preserve">Total Investment [AUTO]</t>
  </si>
  <si>
    <t xml:space="preserve">Annual Water Saved (KL) [AUTO]</t>
  </si>
  <si>
    <t xml:space="preserve">KL</t>
  </si>
  <si>
    <t xml:space="preserve">Water Cost per KL (₹)</t>
  </si>
  <si>
    <t xml:space="preserve">₹/KL</t>
  </si>
  <si>
    <t xml:space="preserve">Annual Cost Saving (₹) [AUTO]</t>
  </si>
  <si>
    <t xml:space="preserve">Payback Period (Months) [AUTO]</t>
  </si>
  <si>
    <t xml:space="preserve">Months</t>
  </si>
  <si>
    <t xml:space="preserve">Push Tap Installation &amp; Savings — 5-Year Trend</t>
  </si>
  <si>
    <t xml:space="preserve">Track cumulative installation and water saving progress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</si>
  <si>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</si>
  <si>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</si>
  <si>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</si>
  <si>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</si>
  <si>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</si>
  <si>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Change</t>
  </si>
  <si>
    <t xml:space="preserve">Growth (%)</t>
  </si>
  <si>
    <t xml:space="preserve">Trend</t>
  </si>
  <si>
    <t xml:space="preserve">Total Push Taps Installed</t>
  </si>
  <si>
    <t xml:space="preserve">Daily Water Saved (L)</t>
  </si>
  <si>
    <t xml:space="preserve">Monthly Saved (L)</t>
  </si>
  <si>
    <t xml:space="preserve">Annual Saved (KL)</t>
  </si>
  <si>
    <t xml:space="preserve">% Campus Taps Converted</t>
  </si>
  <si>
    <t xml:space="preserve">Investment (₹)</t>
  </si>
  <si>
    <t xml:space="preserve">Annual Cost Saving (₹)</t>
  </si>
  <si>
    <t xml:space="preserve">Taps Working (%)</t>
  </si>
  <si>
    <t xml:space="preserve">Spring Loaded Push Taps — Audit &amp; Evidence Checklist (NAAC 7.1.4)</t>
  </si>
  <si>
    <t xml:space="preserve">Installation verification, savings calculation, maintenance compliance</t>
  </si>
  <si>
    <t xml:space="preserve">Audit Item</t>
  </si>
  <si>
    <t xml:space="preserve">Requirement / Description</t>
  </si>
  <si>
    <t xml:space="preserve">Status (✓/✗/IP)</t>
  </si>
  <si>
    <t xml:space="preserve">Date</t>
  </si>
  <si>
    <t xml:space="preserve">Reviewer</t>
  </si>
  <si>
    <t xml:space="preserve">Location-wise inventory complete</t>
  </si>
  <si>
    <t xml:space="preserve">All push taps documented with location, zone, count, flow rate, duration</t>
  </si>
  <si>
    <t xml:space="preserve">Flow rate verified</t>
  </si>
  <si>
    <t xml:space="preserve">Flow rate (L/min) measured or from manufacturer spec; documented per location</t>
  </si>
  <si>
    <t xml:space="preserve">Push duration verified</t>
  </si>
  <si>
    <t xml:space="preserve">Self-closing duration (seconds) measured on-site; documented</t>
  </si>
  <si>
    <t xml:space="preserve">Conventional baseline documented</t>
  </si>
  <si>
    <t xml:space="preserve">Equivalent conventional tap usage (duration, L/wash) recorded for comparison</t>
  </si>
  <si>
    <t xml:space="preserve">Savings per wash auto-calculated</t>
  </si>
  <si>
    <t xml:space="preserve">Water per push wash and conventional wash auto-computed; saving = difference</t>
  </si>
  <si>
    <t xml:space="preserve">Usage estimates reasonable</t>
  </si>
  <si>
    <t xml:space="preserve">Estimated uses per tap per day based on footfall data or observation</t>
  </si>
  <si>
    <t xml:space="preserve">Daily / monthly / yearly totals correct</t>
  </si>
  <si>
    <t xml:space="preserve">Grand totals auto-summed from location data; cross-verified</t>
  </si>
  <si>
    <t xml:space="preserve">Zone-wise breakdown computed</t>
  </si>
  <si>
    <t xml:space="preserve">Academic / Hostel / Support zone savings computed separately</t>
  </si>
  <si>
    <t xml:space="preserve">% saving vs conventional computed</t>
  </si>
  <si>
    <t xml:space="preserve">Percentage reduction documented campus-wide</t>
  </si>
  <si>
    <t xml:space="preserve">Maintenance status tracked</t>
  </si>
  <si>
    <t xml:space="preserve">Working / Needs Repair / Replaced status per location; repair log maintained</t>
  </si>
  <si>
    <t xml:space="preserve">Taps needing repair flagged</t>
  </si>
  <si>
    <t xml:space="preserve">Count of non-working taps identified; repair timeline documented</t>
  </si>
  <si>
    <t xml:space="preserve">ROI / payback calculated</t>
  </si>
  <si>
    <t xml:space="preserve">Investment cost, annual saving, payback period computed</t>
  </si>
  <si>
    <t xml:space="preserve">Comparison with conventional documented</t>
  </si>
  <si>
    <t xml:space="preserve">Side-by-side conventional vs push tap comparison available</t>
  </si>
  <si>
    <t xml:space="preserve">Photos / purchase orders linked</t>
  </si>
  <si>
    <t xml:space="preserve">Evidence: installation photos, purchase bills, vendor POs per location</t>
  </si>
  <si>
    <t xml:space="preserve">5-year trend documented</t>
  </si>
  <si>
    <t xml:space="preserve">Installation count and savings tracked over 5 years</t>
  </si>
  <si>
    <t xml:space="preserve">NAAC 7.1.4 evidence ready</t>
  </si>
  <si>
    <t xml:space="preserve">Complete documentation for water conservation facilities criterion</t>
  </si>
  <si>
    <t xml:space="preserve">Green Audit alignment</t>
  </si>
  <si>
    <t xml:space="preserve">Data consistent with institutional Green Audit / Environment Audit</t>
  </si>
  <si>
    <t xml:space="preserve">Manufacturer warranty documented</t>
  </si>
  <si>
    <t xml:space="preserve">Warranty period and service terms for installed taps on file</t>
  </si>
  <si>
    <t xml:space="preserve">Spring / washer replacement schedule</t>
  </si>
  <si>
    <t xml:space="preserve">Preventive maintenance schedule documented; compliance tracked</t>
  </si>
  <si>
    <t xml:space="preserve">Reproducibility verified</t>
  </si>
  <si>
    <t xml:space="preserve">All savings calculations reproducible from input data within ±5%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</si>
</sst>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#,##0.0"/>
    <numFmt numFmtId="168" formatCode="0"/>
    <numFmt numFmtId="169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548235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b val="true"/>
      <sz val="14"/>
      <color rgb="FF1565C0"/>
      <name val="Arial"/>
      <family val="0"/>
      <charset val="1"/>
    </font>
    <font>
      <b val="true"/>
      <sz val="11"/>
      <color rgb="FF1A2E4F"/>
      <name val="Arial"/>
      <family val="0"/>
      <charset val="1"/>
    </font>
    <font>
      <b val="true"/>
      <sz val="14"/>
      <color rgb="FF1A2E4F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2"/>
      <color rgb="FF1565C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565C0"/>
        <bgColor rgb="FF0D47A1"/>
      </patternFill>
    </fill>
    <fill>
      <patternFill patternType="solid">
        <fgColor rgb="FFFFFFFF"/>
        <bgColor rgb="FFF2F2F2"/>
      </patternFill>
    </fill>
    <fill>
      <patternFill patternType="solid">
        <fgColor rgb="FFE3F2FD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E3F2FD"/>
      </patternFill>
    </fill>
    <fill>
      <patternFill patternType="solid">
        <fgColor rgb="FFFFF5D9"/>
        <bgColor rgb="FFF2F2F2"/>
      </patternFill>
    </fill>
    <fill>
      <patternFill patternType="solid">
        <fgColor rgb="FF1A2E4F"/>
        <bgColor rgb="FF404040"/>
      </patternFill>
    </fill>
    <fill>
      <patternFill patternType="solid">
        <fgColor rgb="FF8B0000"/>
        <bgColor rgb="FF800000"/>
      </patternFill>
    </fill>
    <fill>
      <patternFill patternType="solid">
        <fgColor rgb="FF0D47A1"/>
        <bgColor rgb="FF1565C0"/>
      </patternFill>
    </fill>
    <fill>
      <patternFill patternType="solid">
        <fgColor rgb="FFF2F2F2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993366"/>
      <rgbColor rgb="FFFFF5D9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E4F"/>
      <rgbColor rgb="FF339966"/>
      <rgbColor rgb="FF003300"/>
      <rgbColor rgb="FF333300"/>
      <rgbColor rgb="FF993300"/>
      <rgbColor rgb="FF993366"/>
      <rgbColor rgb="FF0D47A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4" min="4" style="1" width="16"/>
  </cols>
  <sheetData>
    <row r="1" customFormat="false" ht="33.75" hidden="false" customHeight="true" outlineLevel="0" collapsed="false">
      <c r="A1" s="2" t="s">
        <v>0</v>
      </c>
      <c r="B1" s="2"/>
      <c r="C1" s="2"/>
      <c r="D1" s="2"/>
    </row>
    <row r="2" customFormat="false" ht="25.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9.75" hidden="false" customHeight="true" outlineLevel="0" collapsed="false">
      <c r="A5" s="5" t="n">
        <v>1</v>
      </c>
      <c r="B5" s="6" t="s">
        <v>6</v>
      </c>
      <c r="C5" s="7" t="s">
        <v>7</v>
      </c>
      <c r="D5" s="8" t="s">
        <v>8</v>
      </c>
    </row>
    <row r="6" customFormat="false" ht="39.75" hidden="false" customHeight="true" outlineLevel="0" collapsed="false">
      <c r="A6" s="9" t="n">
        <v>2</v>
      </c>
      <c r="B6" s="10" t="s">
        <v>9</v>
      </c>
      <c r="C6" s="11" t="s">
        <v>10</v>
      </c>
      <c r="D6" s="12" t="s">
        <v>11</v>
      </c>
    </row>
    <row r="7" customFormat="false" ht="39.75" hidden="false" customHeight="true" outlineLevel="0" collapsed="false">
      <c r="A7" s="5" t="n">
        <v>3</v>
      </c>
      <c r="B7" s="6" t="s">
        <v>12</v>
      </c>
      <c r="C7" s="7" t="s">
        <v>13</v>
      </c>
      <c r="D7" s="8" t="s">
        <v>14</v>
      </c>
    </row>
    <row r="8" customFormat="false" ht="39.75" hidden="false" customHeight="true" outlineLevel="0" collapsed="false">
      <c r="A8" s="9" t="n">
        <v>4</v>
      </c>
      <c r="B8" s="10" t="s">
        <v>15</v>
      </c>
      <c r="C8" s="11" t="s">
        <v>16</v>
      </c>
      <c r="D8" s="12" t="s">
        <v>17</v>
      </c>
    </row>
    <row r="9" customFormat="false" ht="39.75" hidden="false" customHeight="true" outlineLevel="0" collapsed="false">
      <c r="A9" s="5" t="n">
        <v>5</v>
      </c>
      <c r="B9" s="6" t="s">
        <v>18</v>
      </c>
      <c r="C9" s="7" t="s">
        <v>19</v>
      </c>
      <c r="D9" s="8" t="s">
        <v>20</v>
      </c>
    </row>
    <row r="10" customFormat="false" ht="39.75" hidden="false" customHeight="true" outlineLevel="0" collapsed="false">
      <c r="A10" s="9" t="n">
        <v>6</v>
      </c>
      <c r="B10" s="10" t="s">
        <v>21</v>
      </c>
      <c r="C10" s="11" t="s">
        <v>22</v>
      </c>
      <c r="D10" s="12" t="s">
        <v>23</v>
      </c>
    </row>
    <row r="11" customFormat="false" ht="39.75" hidden="false" customHeight="true" outlineLevel="0" collapsed="false">
      <c r="A11" s="5" t="n">
        <v>7</v>
      </c>
      <c r="B11" s="6" t="s">
        <v>24</v>
      </c>
      <c r="C11" s="7" t="s">
        <v>25</v>
      </c>
      <c r="D11" s="8" t="s">
        <v>26</v>
      </c>
    </row>
    <row r="12" customFormat="false" ht="39.75" hidden="false" customHeight="true" outlineLevel="0" collapsed="false">
      <c r="A12" s="9" t="n">
        <v>8</v>
      </c>
      <c r="B12" s="10" t="s">
        <v>27</v>
      </c>
      <c r="C12" s="11" t="s">
        <v>28</v>
      </c>
      <c r="D12" s="12" t="s">
        <v>29</v>
      </c>
    </row>
    <row r="13" customFormat="false" ht="39.75" hidden="false" customHeight="true" outlineLevel="0" collapsed="false">
      <c r="A13" s="5" t="n">
        <v>9</v>
      </c>
      <c r="B13" s="6" t="s">
        <v>30</v>
      </c>
      <c r="C13" s="7" t="s">
        <v>31</v>
      </c>
      <c r="D13" s="8" t="s">
        <v>32</v>
      </c>
    </row>
    <row r="14" customFormat="false" ht="39.75" hidden="false" customHeight="true" outlineLevel="0" collapsed="false">
      <c r="A14" s="9" t="n">
        <v>10</v>
      </c>
      <c r="B14" s="10" t="s">
        <v>33</v>
      </c>
      <c r="C14" s="11" t="s">
        <v>34</v>
      </c>
      <c r="D14" s="12" t="s">
        <v>35</v>
      </c>
    </row>
    <row r="15" customFormat="false" ht="39.75" hidden="false" customHeight="true" outlineLevel="0" collapsed="false">
      <c r="A15" s="5" t="n">
        <v>11</v>
      </c>
      <c r="B15" s="6" t="s">
        <v>36</v>
      </c>
      <c r="C15" s="7" t="s">
        <v>37</v>
      </c>
      <c r="D15" s="8" t="s">
        <v>38</v>
      </c>
    </row>
    <row r="16" customFormat="false" ht="39.75" hidden="false" customHeight="true" outlineLevel="0" collapsed="false">
      <c r="A16" s="9" t="n">
        <v>12</v>
      </c>
      <c r="B16" s="10" t="s">
        <v>39</v>
      </c>
      <c r="C16" s="11" t="s">
        <v>40</v>
      </c>
      <c r="D16" s="12" t="s">
        <v>41</v>
      </c>
    </row>
    <row r="17" customFormat="false" ht="39.75" hidden="false" customHeight="true" outlineLevel="0" collapsed="false">
      <c r="A17" s="5" t="n">
        <v>13</v>
      </c>
      <c r="B17" s="6" t="s">
        <v>42</v>
      </c>
      <c r="C17" s="7" t="s">
        <v>43</v>
      </c>
      <c r="D17" s="8" t="s">
        <v>44</v>
      </c>
    </row>
    <row r="18" customFormat="false" ht="39.75" hidden="false" customHeight="true" outlineLevel="0" collapsed="false">
      <c r="A18" s="9" t="n">
        <v>14</v>
      </c>
      <c r="B18" s="10" t="s">
        <v>45</v>
      </c>
      <c r="C18" s="11" t="s">
        <v>46</v>
      </c>
      <c r="D18" s="12" t="s">
        <v>47</v>
      </c>
    </row>
    <row r="19" customFormat="false" ht="39.75" hidden="false" customHeight="true" outlineLevel="0" collapsed="false">
      <c r="A19" s="5" t="n">
        <v>15</v>
      </c>
      <c r="B19" s="6" t="s">
        <v>48</v>
      </c>
      <c r="C19" s="7" t="s">
        <v>49</v>
      </c>
      <c r="D19" s="8" t="s">
        <v>50</v>
      </c>
    </row>
    <row r="21" customFormat="false" ht="25.5" hidden="false" customHeight="true" outlineLevel="0" collapsed="false">
      <c r="A21" s="13" t="s">
        <v>51</v>
      </c>
      <c r="B21" s="13"/>
      <c r="C21" s="13"/>
      <c r="D21" s="13"/>
    </row>
    <row r="22" customFormat="false" ht="23.25" hidden="false" customHeight="true" outlineLevel="0" collapsed="false">
      <c r="A22" s="14" t="s">
        <v>2</v>
      </c>
      <c r="B22" s="14" t="s">
        <v>52</v>
      </c>
      <c r="C22" s="14" t="s">
        <v>53</v>
      </c>
      <c r="D22" s="14" t="s">
        <v>54</v>
      </c>
    </row>
    <row r="23" customFormat="false" ht="23.25" hidden="false" customHeight="true" outlineLevel="0" collapsed="false">
      <c r="A23" s="5" t="n">
        <v>1</v>
      </c>
      <c r="B23" s="6" t="s">
        <v>55</v>
      </c>
      <c r="C23" s="15" t="n">
        <v>8</v>
      </c>
      <c r="D23" s="5" t="s">
        <v>56</v>
      </c>
    </row>
    <row r="24" customFormat="false" ht="15" hidden="false" customHeight="true" outlineLevel="0" collapsed="false">
      <c r="A24" s="9" t="n">
        <v>2</v>
      </c>
      <c r="B24" s="10" t="s">
        <v>57</v>
      </c>
      <c r="C24" s="16" t="n">
        <v>5</v>
      </c>
      <c r="D24" s="17"/>
    </row>
    <row r="25" customFormat="false" ht="23.25" hidden="false" customHeight="true" outlineLevel="0" collapsed="false">
      <c r="A25" s="5" t="n">
        <v>3</v>
      </c>
      <c r="B25" s="6" t="s">
        <v>58</v>
      </c>
      <c r="C25" s="15" t="n">
        <v>20</v>
      </c>
      <c r="D25" s="18"/>
    </row>
    <row r="26" customFormat="false" ht="23.25" hidden="false" customHeight="true" outlineLevel="0" collapsed="false">
      <c r="A26" s="9" t="n">
        <v>4</v>
      </c>
      <c r="B26" s="19" t="s">
        <v>59</v>
      </c>
      <c r="C26" s="20" t="n">
        <f aca="false">C23*C24/60</f>
        <v>0.666666666666667</v>
      </c>
      <c r="D26" s="9" t="s">
        <v>60</v>
      </c>
    </row>
    <row r="27" customFormat="false" ht="23.25" hidden="false" customHeight="true" outlineLevel="0" collapsed="false">
      <c r="A27" s="5" t="n">
        <v>5</v>
      </c>
      <c r="B27" s="21" t="s">
        <v>61</v>
      </c>
      <c r="C27" s="22" t="n">
        <f aca="false">C23*C25/60</f>
        <v>2.66666666666667</v>
      </c>
      <c r="D27" s="23"/>
    </row>
    <row r="28" customFormat="false" ht="23.25" hidden="false" customHeight="true" outlineLevel="0" collapsed="false">
      <c r="A28" s="24" t="n">
        <v>6</v>
      </c>
      <c r="B28" s="25" t="s">
        <v>62</v>
      </c>
      <c r="C28" s="26" t="n">
        <f aca="false">C27-C26</f>
        <v>2</v>
      </c>
      <c r="D28" s="27"/>
    </row>
    <row r="29" customFormat="false" ht="15" hidden="false" customHeight="true" outlineLevel="0" collapsed="false">
      <c r="A29" s="5" t="n">
        <v>7</v>
      </c>
      <c r="B29" s="21" t="s">
        <v>63</v>
      </c>
      <c r="C29" s="15"/>
      <c r="D29" s="23"/>
    </row>
    <row r="30" customFormat="false" ht="15" hidden="false" customHeight="true" outlineLevel="0" collapsed="false">
      <c r="A30" s="9" t="n">
        <v>8</v>
      </c>
      <c r="B30" s="19" t="s">
        <v>64</v>
      </c>
      <c r="C30" s="16"/>
      <c r="D30" s="28"/>
    </row>
    <row r="31" customFormat="false" ht="15" hidden="false" customHeight="true" outlineLevel="0" collapsed="false">
      <c r="A31" s="5" t="n">
        <v>9</v>
      </c>
      <c r="B31" s="21" t="s">
        <v>65</v>
      </c>
      <c r="C31" s="29" t="n">
        <f aca="false">IF(AND(C29&gt;0,C30&gt;0),C29*C30,0)</f>
        <v>0</v>
      </c>
      <c r="D31" s="23"/>
    </row>
    <row r="32" customFormat="false" ht="26.25" hidden="false" customHeight="true" outlineLevel="0" collapsed="false">
      <c r="A32" s="30" t="n">
        <v>10</v>
      </c>
      <c r="B32" s="31" t="s">
        <v>66</v>
      </c>
      <c r="C32" s="32" t="n">
        <f aca="false">C28*C31</f>
        <v>0</v>
      </c>
      <c r="D32" s="33"/>
    </row>
    <row r="33" customFormat="false" ht="26.25" hidden="false" customHeight="true" outlineLevel="0" collapsed="false">
      <c r="A33" s="30" t="n">
        <v>11</v>
      </c>
      <c r="B33" s="31" t="s">
        <v>67</v>
      </c>
      <c r="C33" s="32" t="n">
        <f aca="false">C32*30</f>
        <v>0</v>
      </c>
      <c r="D33" s="33"/>
    </row>
    <row r="34" customFormat="false" ht="26.25" hidden="false" customHeight="true" outlineLevel="0" collapsed="false">
      <c r="A34" s="30" t="n">
        <v>12</v>
      </c>
      <c r="B34" s="34" t="s">
        <v>68</v>
      </c>
      <c r="C34" s="35" t="n">
        <f aca="false">C32*365/1000</f>
        <v>0</v>
      </c>
      <c r="D34" s="33"/>
    </row>
  </sheetData>
  <mergeCells count="3">
    <mergeCell ref="A1:D1"/>
    <mergeCell ref="A2:D2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5" min="3" style="1" width="16"/>
    <col collapsed="false" customWidth="true" hidden="false" outlineLevel="0" max="13" min="6" style="1" width="18"/>
    <col collapsed="false" customWidth="true" hidden="false" outlineLevel="0" max="14" min="14" style="1" width="22"/>
    <col collapsed="false" customWidth="true" hidden="false" outlineLevel="0" max="15" min="15" style="1" width="14"/>
  </cols>
  <sheetData>
    <row r="1" customFormat="false" ht="33.75" hidden="false" customHeight="true" outlineLevel="0" collapsed="false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5.5" hidden="false" customHeight="true" outlineLevel="0" collapsed="false">
      <c r="A2" s="3" t="s">
        <v>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4.5" hidden="false" customHeight="true" outlineLevel="0" collapsed="false">
      <c r="A3" s="4" t="s">
        <v>71</v>
      </c>
      <c r="B3" s="4" t="s">
        <v>72</v>
      </c>
      <c r="C3" s="4" t="s">
        <v>73</v>
      </c>
      <c r="D3" s="4" t="s">
        <v>74</v>
      </c>
      <c r="E3" s="4" t="s">
        <v>75</v>
      </c>
      <c r="F3" s="4" t="s">
        <v>76</v>
      </c>
      <c r="G3" s="4" t="s">
        <v>59</v>
      </c>
      <c r="H3" s="4" t="s">
        <v>77</v>
      </c>
      <c r="I3" s="4" t="s">
        <v>78</v>
      </c>
      <c r="J3" s="4" t="s">
        <v>62</v>
      </c>
      <c r="K3" s="4" t="s">
        <v>79</v>
      </c>
      <c r="L3" s="4" t="s">
        <v>80</v>
      </c>
      <c r="M3" s="4" t="s">
        <v>81</v>
      </c>
      <c r="N3" s="4" t="s">
        <v>82</v>
      </c>
      <c r="O3" s="4" t="s">
        <v>83</v>
      </c>
    </row>
    <row r="4" customFormat="false" ht="15" hidden="false" customHeight="true" outlineLevel="0" collapsed="false">
      <c r="A4" s="9" t="n">
        <v>1</v>
      </c>
      <c r="B4" s="19" t="s">
        <v>84</v>
      </c>
      <c r="C4" s="9" t="s">
        <v>85</v>
      </c>
      <c r="D4" s="12" t="n">
        <v>10</v>
      </c>
      <c r="E4" s="12" t="n">
        <v>8</v>
      </c>
      <c r="F4" s="12" t="n">
        <v>5</v>
      </c>
      <c r="G4" s="20" t="n">
        <f aca="false">IF(AND(E4&gt;0,F4&gt;0),E4*F4/60,0)</f>
        <v>0.666666666666667</v>
      </c>
      <c r="H4" s="12" t="n">
        <v>20</v>
      </c>
      <c r="I4" s="20" t="n">
        <f aca="false">IF(AND(E4&gt;0,H4&gt;0),E4*H4/60,0)</f>
        <v>2.66666666666667</v>
      </c>
      <c r="J4" s="36" t="n">
        <f aca="false">IF(I4&gt;G4,I4-G4,0)</f>
        <v>2</v>
      </c>
      <c r="K4" s="16" t="n">
        <v>50</v>
      </c>
      <c r="L4" s="37" t="n">
        <f aca="false">IF(AND(D4&gt;0,K4&gt;0),D4*K4,0)</f>
        <v>500</v>
      </c>
      <c r="M4" s="38" t="n">
        <f aca="false">J4*L4</f>
        <v>1000</v>
      </c>
      <c r="N4" s="16"/>
      <c r="O4" s="16"/>
    </row>
    <row r="5" customFormat="false" ht="15" hidden="false" customHeight="true" outlineLevel="0" collapsed="false">
      <c r="A5" s="5" t="n">
        <v>2</v>
      </c>
      <c r="B5" s="21" t="s">
        <v>86</v>
      </c>
      <c r="C5" s="5" t="s">
        <v>85</v>
      </c>
      <c r="D5" s="8" t="n">
        <v>8</v>
      </c>
      <c r="E5" s="8" t="n">
        <v>8</v>
      </c>
      <c r="F5" s="8" t="n">
        <v>5</v>
      </c>
      <c r="G5" s="22" t="n">
        <f aca="false">IF(AND(E5&gt;0,F5&gt;0),E5*F5/60,0)</f>
        <v>0.666666666666667</v>
      </c>
      <c r="H5" s="8" t="n">
        <v>20</v>
      </c>
      <c r="I5" s="22" t="n">
        <f aca="false">IF(AND(E5&gt;0,H5&gt;0),E5*H5/60,0)</f>
        <v>2.66666666666667</v>
      </c>
      <c r="J5" s="39" t="n">
        <f aca="false">IF(I5&gt;G5,I5-G5,0)</f>
        <v>2</v>
      </c>
      <c r="K5" s="15" t="n">
        <v>40</v>
      </c>
      <c r="L5" s="29" t="n">
        <f aca="false">IF(AND(D5&gt;0,K5&gt;0),D5*K5,0)</f>
        <v>320</v>
      </c>
      <c r="M5" s="40" t="n">
        <f aca="false">J5*L5</f>
        <v>640</v>
      </c>
      <c r="N5" s="15"/>
      <c r="O5" s="15"/>
    </row>
    <row r="6" customFormat="false" ht="15" hidden="false" customHeight="true" outlineLevel="0" collapsed="false">
      <c r="A6" s="9" t="n">
        <v>3</v>
      </c>
      <c r="B6" s="19" t="s">
        <v>87</v>
      </c>
      <c r="C6" s="9" t="s">
        <v>85</v>
      </c>
      <c r="D6" s="12" t="n">
        <v>6</v>
      </c>
      <c r="E6" s="12" t="n">
        <v>8</v>
      </c>
      <c r="F6" s="12" t="n">
        <v>5</v>
      </c>
      <c r="G6" s="20" t="n">
        <f aca="false">IF(AND(E6&gt;0,F6&gt;0),E6*F6/60,0)</f>
        <v>0.666666666666667</v>
      </c>
      <c r="H6" s="12" t="n">
        <v>20</v>
      </c>
      <c r="I6" s="20" t="n">
        <f aca="false">IF(AND(E6&gt;0,H6&gt;0),E6*H6/60,0)</f>
        <v>2.66666666666667</v>
      </c>
      <c r="J6" s="36" t="n">
        <f aca="false">IF(I6&gt;G6,I6-G6,0)</f>
        <v>2</v>
      </c>
      <c r="K6" s="16" t="n">
        <v>30</v>
      </c>
      <c r="L6" s="37" t="n">
        <f aca="false">IF(AND(D6&gt;0,K6&gt;0),D6*K6,0)</f>
        <v>180</v>
      </c>
      <c r="M6" s="38" t="n">
        <f aca="false">J6*L6</f>
        <v>360</v>
      </c>
      <c r="N6" s="16"/>
      <c r="O6" s="16"/>
    </row>
    <row r="7" customFormat="false" ht="15" hidden="false" customHeight="true" outlineLevel="0" collapsed="false">
      <c r="A7" s="5" t="n">
        <v>4</v>
      </c>
      <c r="B7" s="21" t="s">
        <v>88</v>
      </c>
      <c r="C7" s="5" t="s">
        <v>85</v>
      </c>
      <c r="D7" s="8" t="n">
        <v>4</v>
      </c>
      <c r="E7" s="8" t="n">
        <v>8</v>
      </c>
      <c r="F7" s="8" t="n">
        <v>5</v>
      </c>
      <c r="G7" s="22" t="n">
        <f aca="false">IF(AND(E7&gt;0,F7&gt;0),E7*F7/60,0)</f>
        <v>0.666666666666667</v>
      </c>
      <c r="H7" s="8" t="n">
        <v>20</v>
      </c>
      <c r="I7" s="22" t="n">
        <f aca="false">IF(AND(E7&gt;0,H7&gt;0),E7*H7/60,0)</f>
        <v>2.66666666666667</v>
      </c>
      <c r="J7" s="39" t="n">
        <f aca="false">IF(I7&gt;G7,I7-G7,0)</f>
        <v>2</v>
      </c>
      <c r="K7" s="15" t="n">
        <v>25</v>
      </c>
      <c r="L7" s="29" t="n">
        <f aca="false">IF(AND(D7&gt;0,K7&gt;0),D7*K7,0)</f>
        <v>100</v>
      </c>
      <c r="M7" s="40" t="n">
        <f aca="false">J7*L7</f>
        <v>200</v>
      </c>
      <c r="N7" s="15"/>
      <c r="O7" s="15"/>
    </row>
    <row r="8" customFormat="false" ht="15" hidden="false" customHeight="true" outlineLevel="0" collapsed="false">
      <c r="A8" s="9" t="n">
        <v>5</v>
      </c>
      <c r="B8" s="19" t="s">
        <v>89</v>
      </c>
      <c r="C8" s="9" t="s">
        <v>90</v>
      </c>
      <c r="D8" s="12" t="n">
        <v>8</v>
      </c>
      <c r="E8" s="12" t="n">
        <v>8</v>
      </c>
      <c r="F8" s="12" t="n">
        <v>5</v>
      </c>
      <c r="G8" s="20" t="n">
        <f aca="false">IF(AND(E8&gt;0,F8&gt;0),E8*F8/60,0)</f>
        <v>0.666666666666667</v>
      </c>
      <c r="H8" s="12" t="n">
        <v>20</v>
      </c>
      <c r="I8" s="20" t="n">
        <f aca="false">IF(AND(E8&gt;0,H8&gt;0),E8*H8/60,0)</f>
        <v>2.66666666666667</v>
      </c>
      <c r="J8" s="36" t="n">
        <f aca="false">IF(I8&gt;G8,I8-G8,0)</f>
        <v>2</v>
      </c>
      <c r="K8" s="16" t="n">
        <v>60</v>
      </c>
      <c r="L8" s="37" t="n">
        <f aca="false">IF(AND(D8&gt;0,K8&gt;0),D8*K8,0)</f>
        <v>480</v>
      </c>
      <c r="M8" s="38" t="n">
        <f aca="false">J8*L8</f>
        <v>960</v>
      </c>
      <c r="N8" s="16"/>
      <c r="O8" s="16"/>
    </row>
    <row r="9" customFormat="false" ht="15" hidden="false" customHeight="true" outlineLevel="0" collapsed="false">
      <c r="A9" s="5" t="n">
        <v>6</v>
      </c>
      <c r="B9" s="21" t="s">
        <v>91</v>
      </c>
      <c r="C9" s="5" t="s">
        <v>92</v>
      </c>
      <c r="D9" s="8" t="n">
        <v>12</v>
      </c>
      <c r="E9" s="8" t="n">
        <v>8</v>
      </c>
      <c r="F9" s="8" t="n">
        <v>5</v>
      </c>
      <c r="G9" s="22" t="n">
        <f aca="false">IF(AND(E9&gt;0,F9&gt;0),E9*F9/60,0)</f>
        <v>0.666666666666667</v>
      </c>
      <c r="H9" s="8" t="n">
        <v>20</v>
      </c>
      <c r="I9" s="22" t="n">
        <f aca="false">IF(AND(E9&gt;0,H9&gt;0),E9*H9/60,0)</f>
        <v>2.66666666666667</v>
      </c>
      <c r="J9" s="39" t="n">
        <f aca="false">IF(I9&gt;G9,I9-G9,0)</f>
        <v>2</v>
      </c>
      <c r="K9" s="15" t="n">
        <v>40</v>
      </c>
      <c r="L9" s="29" t="n">
        <f aca="false">IF(AND(D9&gt;0,K9&gt;0),D9*K9,0)</f>
        <v>480</v>
      </c>
      <c r="M9" s="40" t="n">
        <f aca="false">J9*L9</f>
        <v>960</v>
      </c>
      <c r="N9" s="15"/>
      <c r="O9" s="15"/>
    </row>
    <row r="10" customFormat="false" ht="15" hidden="false" customHeight="true" outlineLevel="0" collapsed="false">
      <c r="A10" s="9" t="n">
        <v>7</v>
      </c>
      <c r="B10" s="19" t="s">
        <v>93</v>
      </c>
      <c r="C10" s="9" t="s">
        <v>92</v>
      </c>
      <c r="D10" s="12" t="n">
        <v>12</v>
      </c>
      <c r="E10" s="12" t="n">
        <v>8</v>
      </c>
      <c r="F10" s="12" t="n">
        <v>5</v>
      </c>
      <c r="G10" s="20" t="n">
        <f aca="false">IF(AND(E10&gt;0,F10&gt;0),E10*F10/60,0)</f>
        <v>0.666666666666667</v>
      </c>
      <c r="H10" s="12" t="n">
        <v>20</v>
      </c>
      <c r="I10" s="20" t="n">
        <f aca="false">IF(AND(E10&gt;0,H10&gt;0),E10*H10/60,0)</f>
        <v>2.66666666666667</v>
      </c>
      <c r="J10" s="36" t="n">
        <f aca="false">IF(I10&gt;G10,I10-G10,0)</f>
        <v>2</v>
      </c>
      <c r="K10" s="16" t="n">
        <v>40</v>
      </c>
      <c r="L10" s="37" t="n">
        <f aca="false">IF(AND(D10&gt;0,K10&gt;0),D10*K10,0)</f>
        <v>480</v>
      </c>
      <c r="M10" s="38" t="n">
        <f aca="false">J10*L10</f>
        <v>960</v>
      </c>
      <c r="N10" s="16"/>
      <c r="O10" s="16"/>
    </row>
    <row r="11" customFormat="false" ht="15" hidden="false" customHeight="true" outlineLevel="0" collapsed="false">
      <c r="A11" s="5" t="n">
        <v>8</v>
      </c>
      <c r="B11" s="21" t="s">
        <v>94</v>
      </c>
      <c r="C11" s="5" t="s">
        <v>92</v>
      </c>
      <c r="D11" s="8" t="n">
        <v>10</v>
      </c>
      <c r="E11" s="8" t="n">
        <v>8</v>
      </c>
      <c r="F11" s="8" t="n">
        <v>5</v>
      </c>
      <c r="G11" s="22" t="n">
        <f aca="false">IF(AND(E11&gt;0,F11&gt;0),E11*F11/60,0)</f>
        <v>0.666666666666667</v>
      </c>
      <c r="H11" s="8" t="n">
        <v>20</v>
      </c>
      <c r="I11" s="22" t="n">
        <f aca="false">IF(AND(E11&gt;0,H11&gt;0),E11*H11/60,0)</f>
        <v>2.66666666666667</v>
      </c>
      <c r="J11" s="39" t="n">
        <f aca="false">IF(I11&gt;G11,I11-G11,0)</f>
        <v>2</v>
      </c>
      <c r="K11" s="15" t="n">
        <v>35</v>
      </c>
      <c r="L11" s="29" t="n">
        <f aca="false">IF(AND(D11&gt;0,K11&gt;0),D11*K11,0)</f>
        <v>350</v>
      </c>
      <c r="M11" s="40" t="n">
        <f aca="false">J11*L11</f>
        <v>700</v>
      </c>
      <c r="N11" s="15"/>
      <c r="O11" s="15"/>
    </row>
    <row r="12" customFormat="false" ht="15" hidden="false" customHeight="true" outlineLevel="0" collapsed="false">
      <c r="A12" s="9" t="n">
        <v>9</v>
      </c>
      <c r="B12" s="19" t="s">
        <v>95</v>
      </c>
      <c r="C12" s="9" t="s">
        <v>92</v>
      </c>
      <c r="D12" s="12" t="n">
        <v>10</v>
      </c>
      <c r="E12" s="12" t="n">
        <v>8</v>
      </c>
      <c r="F12" s="12" t="n">
        <v>5</v>
      </c>
      <c r="G12" s="20" t="n">
        <f aca="false">IF(AND(E12&gt;0,F12&gt;0),E12*F12/60,0)</f>
        <v>0.666666666666667</v>
      </c>
      <c r="H12" s="12" t="n">
        <v>20</v>
      </c>
      <c r="I12" s="20" t="n">
        <f aca="false">IF(AND(E12&gt;0,H12&gt;0),E12*H12/60,0)</f>
        <v>2.66666666666667</v>
      </c>
      <c r="J12" s="36" t="n">
        <f aca="false">IF(I12&gt;G12,I12-G12,0)</f>
        <v>2</v>
      </c>
      <c r="K12" s="16" t="n">
        <v>35</v>
      </c>
      <c r="L12" s="37" t="n">
        <f aca="false">IF(AND(D12&gt;0,K12&gt;0),D12*K12,0)</f>
        <v>350</v>
      </c>
      <c r="M12" s="38" t="n">
        <f aca="false">J12*L12</f>
        <v>700</v>
      </c>
      <c r="N12" s="16"/>
      <c r="O12" s="16"/>
    </row>
    <row r="13" customFormat="false" ht="15" hidden="false" customHeight="true" outlineLevel="0" collapsed="false">
      <c r="A13" s="5" t="n">
        <v>10</v>
      </c>
      <c r="B13" s="21" t="s">
        <v>96</v>
      </c>
      <c r="C13" s="5" t="s">
        <v>90</v>
      </c>
      <c r="D13" s="8" t="n">
        <v>6</v>
      </c>
      <c r="E13" s="8" t="n">
        <v>8</v>
      </c>
      <c r="F13" s="8" t="n">
        <v>5</v>
      </c>
      <c r="G13" s="22" t="n">
        <f aca="false">IF(AND(E13&gt;0,F13&gt;0),E13*F13/60,0)</f>
        <v>0.666666666666667</v>
      </c>
      <c r="H13" s="8" t="n">
        <v>20</v>
      </c>
      <c r="I13" s="22" t="n">
        <f aca="false">IF(AND(E13&gt;0,H13&gt;0),E13*H13/60,0)</f>
        <v>2.66666666666667</v>
      </c>
      <c r="J13" s="39" t="n">
        <f aca="false">IF(I13&gt;G13,I13-G13,0)</f>
        <v>2</v>
      </c>
      <c r="K13" s="15" t="n">
        <v>50</v>
      </c>
      <c r="L13" s="29" t="n">
        <f aca="false">IF(AND(D13&gt;0,K13&gt;0),D13*K13,0)</f>
        <v>300</v>
      </c>
      <c r="M13" s="40" t="n">
        <f aca="false">J13*L13</f>
        <v>600</v>
      </c>
      <c r="N13" s="15"/>
      <c r="O13" s="15"/>
    </row>
    <row r="14" customFormat="false" ht="15" hidden="false" customHeight="true" outlineLevel="0" collapsed="false">
      <c r="A14" s="9" t="n">
        <v>11</v>
      </c>
      <c r="B14" s="19" t="s">
        <v>97</v>
      </c>
      <c r="C14" s="9" t="s">
        <v>90</v>
      </c>
      <c r="D14" s="12" t="n">
        <v>4</v>
      </c>
      <c r="E14" s="12" t="n">
        <v>8</v>
      </c>
      <c r="F14" s="12" t="n">
        <v>5</v>
      </c>
      <c r="G14" s="20" t="n">
        <f aca="false">IF(AND(E14&gt;0,F14&gt;0),E14*F14/60,0)</f>
        <v>0.666666666666667</v>
      </c>
      <c r="H14" s="12" t="n">
        <v>20</v>
      </c>
      <c r="I14" s="20" t="n">
        <f aca="false">IF(AND(E14&gt;0,H14&gt;0),E14*H14/60,0)</f>
        <v>2.66666666666667</v>
      </c>
      <c r="J14" s="36" t="n">
        <f aca="false">IF(I14&gt;G14,I14-G14,0)</f>
        <v>2</v>
      </c>
      <c r="K14" s="16" t="n">
        <v>20</v>
      </c>
      <c r="L14" s="37" t="n">
        <f aca="false">IF(AND(D14&gt;0,K14&gt;0),D14*K14,0)</f>
        <v>80</v>
      </c>
      <c r="M14" s="38" t="n">
        <f aca="false">J14*L14</f>
        <v>160</v>
      </c>
      <c r="N14" s="16"/>
      <c r="O14" s="16"/>
    </row>
    <row r="15" customFormat="false" ht="15" hidden="false" customHeight="true" outlineLevel="0" collapsed="false">
      <c r="A15" s="5" t="n">
        <v>12</v>
      </c>
      <c r="B15" s="21" t="s">
        <v>98</v>
      </c>
      <c r="C15" s="5" t="s">
        <v>85</v>
      </c>
      <c r="D15" s="8" t="n">
        <v>4</v>
      </c>
      <c r="E15" s="8" t="n">
        <v>8</v>
      </c>
      <c r="F15" s="8" t="n">
        <v>5</v>
      </c>
      <c r="G15" s="22" t="n">
        <f aca="false">IF(AND(E15&gt;0,F15&gt;0),E15*F15/60,0)</f>
        <v>0.666666666666667</v>
      </c>
      <c r="H15" s="8" t="n">
        <v>20</v>
      </c>
      <c r="I15" s="22" t="n">
        <f aca="false">IF(AND(E15&gt;0,H15&gt;0),E15*H15/60,0)</f>
        <v>2.66666666666667</v>
      </c>
      <c r="J15" s="39" t="n">
        <f aca="false">IF(I15&gt;G15,I15-G15,0)</f>
        <v>2</v>
      </c>
      <c r="K15" s="15" t="n">
        <v>15</v>
      </c>
      <c r="L15" s="29" t="n">
        <f aca="false">IF(AND(D15&gt;0,K15&gt;0),D15*K15,0)</f>
        <v>60</v>
      </c>
      <c r="M15" s="40" t="n">
        <f aca="false">J15*L15</f>
        <v>120</v>
      </c>
      <c r="N15" s="15"/>
      <c r="O15" s="15"/>
    </row>
    <row r="16" customFormat="false" ht="15" hidden="false" customHeight="true" outlineLevel="0" collapsed="false">
      <c r="A16" s="9" t="n">
        <v>13</v>
      </c>
      <c r="B16" s="19" t="s">
        <v>99</v>
      </c>
      <c r="C16" s="9" t="s">
        <v>85</v>
      </c>
      <c r="D16" s="12" t="n">
        <v>6</v>
      </c>
      <c r="E16" s="12" t="n">
        <v>8</v>
      </c>
      <c r="F16" s="12" t="n">
        <v>5</v>
      </c>
      <c r="G16" s="20" t="n">
        <f aca="false">IF(AND(E16&gt;0,F16&gt;0),E16*F16/60,0)</f>
        <v>0.666666666666667</v>
      </c>
      <c r="H16" s="12" t="n">
        <v>20</v>
      </c>
      <c r="I16" s="20" t="n">
        <f aca="false">IF(AND(E16&gt;0,H16&gt;0),E16*H16/60,0)</f>
        <v>2.66666666666667</v>
      </c>
      <c r="J16" s="36" t="n">
        <f aca="false">IF(I16&gt;G16,I16-G16,0)</f>
        <v>2</v>
      </c>
      <c r="K16" s="16" t="n">
        <v>25</v>
      </c>
      <c r="L16" s="37" t="n">
        <f aca="false">IF(AND(D16&gt;0,K16&gt;0),D16*K16,0)</f>
        <v>150</v>
      </c>
      <c r="M16" s="38" t="n">
        <f aca="false">J16*L16</f>
        <v>300</v>
      </c>
      <c r="N16" s="16"/>
      <c r="O16" s="16"/>
    </row>
    <row r="17" customFormat="false" ht="15" hidden="false" customHeight="true" outlineLevel="0" collapsed="false">
      <c r="A17" s="5" t="n">
        <v>14</v>
      </c>
      <c r="B17" s="21" t="s">
        <v>100</v>
      </c>
      <c r="C17" s="5" t="s">
        <v>90</v>
      </c>
      <c r="D17" s="8" t="n">
        <v>4</v>
      </c>
      <c r="E17" s="8" t="n">
        <v>8</v>
      </c>
      <c r="F17" s="8" t="n">
        <v>5</v>
      </c>
      <c r="G17" s="22" t="n">
        <f aca="false">IF(AND(E17&gt;0,F17&gt;0),E17*F17/60,0)</f>
        <v>0.666666666666667</v>
      </c>
      <c r="H17" s="8" t="n">
        <v>20</v>
      </c>
      <c r="I17" s="22" t="n">
        <f aca="false">IF(AND(E17&gt;0,H17&gt;0),E17*H17/60,0)</f>
        <v>2.66666666666667</v>
      </c>
      <c r="J17" s="39" t="n">
        <f aca="false">IF(I17&gt;G17,I17-G17,0)</f>
        <v>2</v>
      </c>
      <c r="K17" s="15" t="n">
        <v>30</v>
      </c>
      <c r="L17" s="29" t="n">
        <f aca="false">IF(AND(D17&gt;0,K17&gt;0),D17*K17,0)</f>
        <v>120</v>
      </c>
      <c r="M17" s="40" t="n">
        <f aca="false">J17*L17</f>
        <v>240</v>
      </c>
      <c r="N17" s="15"/>
      <c r="O17" s="15"/>
    </row>
    <row r="18" customFormat="false" ht="15" hidden="false" customHeight="true" outlineLevel="0" collapsed="false">
      <c r="A18" s="9" t="n">
        <v>15</v>
      </c>
      <c r="B18" s="19" t="s">
        <v>101</v>
      </c>
      <c r="C18" s="9" t="s">
        <v>90</v>
      </c>
      <c r="D18" s="12" t="n">
        <v>2</v>
      </c>
      <c r="E18" s="12" t="n">
        <v>8</v>
      </c>
      <c r="F18" s="12" t="n">
        <v>5</v>
      </c>
      <c r="G18" s="20" t="n">
        <f aca="false">IF(AND(E18&gt;0,F18&gt;0),E18*F18/60,0)</f>
        <v>0.666666666666667</v>
      </c>
      <c r="H18" s="12" t="n">
        <v>20</v>
      </c>
      <c r="I18" s="20" t="n">
        <f aca="false">IF(AND(E18&gt;0,H18&gt;0),E18*H18/60,0)</f>
        <v>2.66666666666667</v>
      </c>
      <c r="J18" s="36" t="n">
        <f aca="false">IF(I18&gt;G18,I18-G18,0)</f>
        <v>2</v>
      </c>
      <c r="K18" s="16" t="n">
        <v>10</v>
      </c>
      <c r="L18" s="37" t="n">
        <f aca="false">IF(AND(D18&gt;0,K18&gt;0),D18*K18,0)</f>
        <v>20</v>
      </c>
      <c r="M18" s="38" t="n">
        <f aca="false">J18*L18</f>
        <v>40</v>
      </c>
      <c r="N18" s="16"/>
      <c r="O18" s="16"/>
    </row>
    <row r="19" customFormat="false" ht="15" hidden="false" customHeight="true" outlineLevel="0" collapsed="false">
      <c r="A19" s="5" t="n">
        <v>16</v>
      </c>
      <c r="B19" s="15"/>
      <c r="C19" s="15"/>
      <c r="D19" s="15"/>
      <c r="E19" s="15"/>
      <c r="F19" s="15"/>
      <c r="G19" s="22" t="n">
        <f aca="false">IF(AND(E19&gt;0,F19&gt;0),E19*F19/60,0)</f>
        <v>0</v>
      </c>
      <c r="H19" s="15"/>
      <c r="I19" s="22" t="n">
        <f aca="false">IF(AND(E19&gt;0,H19&gt;0),E19*H19/60,0)</f>
        <v>0</v>
      </c>
      <c r="J19" s="22" t="n">
        <f aca="false">IF(I19&gt;G19,I19-G19,0)</f>
        <v>0</v>
      </c>
      <c r="K19" s="15"/>
      <c r="L19" s="29" t="n">
        <f aca="false">IF(AND(D19&gt;0,K19&gt;0),D19*K19,0)</f>
        <v>0</v>
      </c>
      <c r="M19" s="29" t="n">
        <f aca="false">J19*L19</f>
        <v>0</v>
      </c>
      <c r="N19" s="15"/>
      <c r="O19" s="15"/>
    </row>
    <row r="20" customFormat="false" ht="15" hidden="false" customHeight="true" outlineLevel="0" collapsed="false">
      <c r="A20" s="9" t="n">
        <v>17</v>
      </c>
      <c r="B20" s="16"/>
      <c r="C20" s="16"/>
      <c r="D20" s="16"/>
      <c r="E20" s="16"/>
      <c r="F20" s="16"/>
      <c r="G20" s="20" t="n">
        <f aca="false">IF(AND(E20&gt;0,F20&gt;0),E20*F20/60,0)</f>
        <v>0</v>
      </c>
      <c r="H20" s="16"/>
      <c r="I20" s="20" t="n">
        <f aca="false">IF(AND(E20&gt;0,H20&gt;0),E20*H20/60,0)</f>
        <v>0</v>
      </c>
      <c r="J20" s="20" t="n">
        <f aca="false">IF(I20&gt;G20,I20-G20,0)</f>
        <v>0</v>
      </c>
      <c r="K20" s="16"/>
      <c r="L20" s="37" t="n">
        <f aca="false">IF(AND(D20&gt;0,K20&gt;0),D20*K20,0)</f>
        <v>0</v>
      </c>
      <c r="M20" s="37" t="n">
        <f aca="false">J20*L20</f>
        <v>0</v>
      </c>
      <c r="N20" s="16"/>
      <c r="O20" s="16"/>
    </row>
    <row r="21" customFormat="false" ht="15" hidden="false" customHeight="true" outlineLevel="0" collapsed="false">
      <c r="A21" s="5" t="n">
        <v>18</v>
      </c>
      <c r="B21" s="15"/>
      <c r="C21" s="15"/>
      <c r="D21" s="15"/>
      <c r="E21" s="15"/>
      <c r="F21" s="15"/>
      <c r="G21" s="22" t="n">
        <f aca="false">IF(AND(E21&gt;0,F21&gt;0),E21*F21/60,0)</f>
        <v>0</v>
      </c>
      <c r="H21" s="15"/>
      <c r="I21" s="22" t="n">
        <f aca="false">IF(AND(E21&gt;0,H21&gt;0),E21*H21/60,0)</f>
        <v>0</v>
      </c>
      <c r="J21" s="22" t="n">
        <f aca="false">IF(I21&gt;G21,I21-G21,0)</f>
        <v>0</v>
      </c>
      <c r="K21" s="15"/>
      <c r="L21" s="29" t="n">
        <f aca="false">IF(AND(D21&gt;0,K21&gt;0),D21*K21,0)</f>
        <v>0</v>
      </c>
      <c r="M21" s="29" t="n">
        <f aca="false">J21*L21</f>
        <v>0</v>
      </c>
      <c r="N21" s="15"/>
      <c r="O21" s="15"/>
    </row>
    <row r="22" customFormat="false" ht="15" hidden="false" customHeight="true" outlineLevel="0" collapsed="false">
      <c r="A22" s="9" t="n">
        <v>19</v>
      </c>
      <c r="B22" s="16"/>
      <c r="C22" s="16"/>
      <c r="D22" s="16"/>
      <c r="E22" s="16"/>
      <c r="F22" s="16"/>
      <c r="G22" s="20" t="n">
        <f aca="false">IF(AND(E22&gt;0,F22&gt;0),E22*F22/60,0)</f>
        <v>0</v>
      </c>
      <c r="H22" s="16"/>
      <c r="I22" s="20" t="n">
        <f aca="false">IF(AND(E22&gt;0,H22&gt;0),E22*H22/60,0)</f>
        <v>0</v>
      </c>
      <c r="J22" s="20" t="n">
        <f aca="false">IF(I22&gt;G22,I22-G22,0)</f>
        <v>0</v>
      </c>
      <c r="K22" s="16"/>
      <c r="L22" s="37" t="n">
        <f aca="false">IF(AND(D22&gt;0,K22&gt;0),D22*K22,0)</f>
        <v>0</v>
      </c>
      <c r="M22" s="37" t="n">
        <f aca="false">J22*L22</f>
        <v>0</v>
      </c>
      <c r="N22" s="16"/>
      <c r="O22" s="16"/>
    </row>
    <row r="23" customFormat="false" ht="15" hidden="false" customHeight="true" outlineLevel="0" collapsed="false">
      <c r="A23" s="5" t="n">
        <v>20</v>
      </c>
      <c r="B23" s="15"/>
      <c r="C23" s="15"/>
      <c r="D23" s="15"/>
      <c r="E23" s="15"/>
      <c r="F23" s="15"/>
      <c r="G23" s="22" t="n">
        <f aca="false">IF(AND(E23&gt;0,F23&gt;0),E23*F23/60,0)</f>
        <v>0</v>
      </c>
      <c r="H23" s="15"/>
      <c r="I23" s="22" t="n">
        <f aca="false">IF(AND(E23&gt;0,H23&gt;0),E23*H23/60,0)</f>
        <v>0</v>
      </c>
      <c r="J23" s="22" t="n">
        <f aca="false">IF(I23&gt;G23,I23-G23,0)</f>
        <v>0</v>
      </c>
      <c r="K23" s="15"/>
      <c r="L23" s="29" t="n">
        <f aca="false">IF(AND(D23&gt;0,K23&gt;0),D23*K23,0)</f>
        <v>0</v>
      </c>
      <c r="M23" s="29" t="n">
        <f aca="false">J23*L23</f>
        <v>0</v>
      </c>
      <c r="N23" s="15"/>
      <c r="O23" s="15"/>
    </row>
    <row r="24" customFormat="false" ht="15" hidden="false" customHeight="true" outlineLevel="0" collapsed="false">
      <c r="A24" s="9" t="n">
        <v>21</v>
      </c>
      <c r="B24" s="16"/>
      <c r="C24" s="16"/>
      <c r="D24" s="16"/>
      <c r="E24" s="16"/>
      <c r="F24" s="16"/>
      <c r="G24" s="20" t="n">
        <f aca="false">IF(AND(E24&gt;0,F24&gt;0),E24*F24/60,0)</f>
        <v>0</v>
      </c>
      <c r="H24" s="16"/>
      <c r="I24" s="20" t="n">
        <f aca="false">IF(AND(E24&gt;0,H24&gt;0),E24*H24/60,0)</f>
        <v>0</v>
      </c>
      <c r="J24" s="20" t="n">
        <f aca="false">IF(I24&gt;G24,I24-G24,0)</f>
        <v>0</v>
      </c>
      <c r="K24" s="16"/>
      <c r="L24" s="37" t="n">
        <f aca="false">IF(AND(D24&gt;0,K24&gt;0),D24*K24,0)</f>
        <v>0</v>
      </c>
      <c r="M24" s="37" t="n">
        <f aca="false">J24*L24</f>
        <v>0</v>
      </c>
      <c r="N24" s="16"/>
      <c r="O24" s="16"/>
    </row>
    <row r="25" customFormat="false" ht="15" hidden="false" customHeight="true" outlineLevel="0" collapsed="false">
      <c r="A25" s="5" t="n">
        <v>22</v>
      </c>
      <c r="B25" s="15"/>
      <c r="C25" s="15"/>
      <c r="D25" s="15"/>
      <c r="E25" s="15"/>
      <c r="F25" s="15"/>
      <c r="G25" s="22" t="n">
        <f aca="false">IF(AND(E25&gt;0,F25&gt;0),E25*F25/60,0)</f>
        <v>0</v>
      </c>
      <c r="H25" s="15"/>
      <c r="I25" s="22" t="n">
        <f aca="false">IF(AND(E25&gt;0,H25&gt;0),E25*H25/60,0)</f>
        <v>0</v>
      </c>
      <c r="J25" s="22" t="n">
        <f aca="false">IF(I25&gt;G25,I25-G25,0)</f>
        <v>0</v>
      </c>
      <c r="K25" s="15"/>
      <c r="L25" s="29" t="n">
        <f aca="false">IF(AND(D25&gt;0,K25&gt;0),D25*K25,0)</f>
        <v>0</v>
      </c>
      <c r="M25" s="29" t="n">
        <f aca="false">J25*L25</f>
        <v>0</v>
      </c>
      <c r="N25" s="15"/>
      <c r="O25" s="15"/>
    </row>
    <row r="26" customFormat="false" ht="15" hidden="false" customHeight="true" outlineLevel="0" collapsed="false">
      <c r="A26" s="9" t="n">
        <v>23</v>
      </c>
      <c r="B26" s="16"/>
      <c r="C26" s="16"/>
      <c r="D26" s="16"/>
      <c r="E26" s="16"/>
      <c r="F26" s="16"/>
      <c r="G26" s="20" t="n">
        <f aca="false">IF(AND(E26&gt;0,F26&gt;0),E26*F26/60,0)</f>
        <v>0</v>
      </c>
      <c r="H26" s="16"/>
      <c r="I26" s="20" t="n">
        <f aca="false">IF(AND(E26&gt;0,H26&gt;0),E26*H26/60,0)</f>
        <v>0</v>
      </c>
      <c r="J26" s="20" t="n">
        <f aca="false">IF(I26&gt;G26,I26-G26,0)</f>
        <v>0</v>
      </c>
      <c r="K26" s="16"/>
      <c r="L26" s="37" t="n">
        <f aca="false">IF(AND(D26&gt;0,K26&gt;0),D26*K26,0)</f>
        <v>0</v>
      </c>
      <c r="M26" s="37" t="n">
        <f aca="false">J26*L26</f>
        <v>0</v>
      </c>
      <c r="N26" s="16"/>
      <c r="O26" s="16"/>
    </row>
    <row r="27" customFormat="false" ht="15" hidden="false" customHeight="true" outlineLevel="0" collapsed="false">
      <c r="A27" s="5" t="n">
        <v>24</v>
      </c>
      <c r="B27" s="15"/>
      <c r="C27" s="15"/>
      <c r="D27" s="15"/>
      <c r="E27" s="15"/>
      <c r="F27" s="15"/>
      <c r="G27" s="22" t="n">
        <f aca="false">IF(AND(E27&gt;0,F27&gt;0),E27*F27/60,0)</f>
        <v>0</v>
      </c>
      <c r="H27" s="15"/>
      <c r="I27" s="22" t="n">
        <f aca="false">IF(AND(E27&gt;0,H27&gt;0),E27*H27/60,0)</f>
        <v>0</v>
      </c>
      <c r="J27" s="22" t="n">
        <f aca="false">IF(I27&gt;G27,I27-G27,0)</f>
        <v>0</v>
      </c>
      <c r="K27" s="15"/>
      <c r="L27" s="29" t="n">
        <f aca="false">IF(AND(D27&gt;0,K27&gt;0),D27*K27,0)</f>
        <v>0</v>
      </c>
      <c r="M27" s="29" t="n">
        <f aca="false">J27*L27</f>
        <v>0</v>
      </c>
      <c r="N27" s="15"/>
      <c r="O27" s="15"/>
    </row>
    <row r="28" customFormat="false" ht="15" hidden="false" customHeight="true" outlineLevel="0" collapsed="false">
      <c r="A28" s="9" t="n">
        <v>25</v>
      </c>
      <c r="B28" s="16"/>
      <c r="C28" s="16"/>
      <c r="D28" s="16"/>
      <c r="E28" s="16"/>
      <c r="F28" s="16"/>
      <c r="G28" s="20" t="n">
        <f aca="false">IF(AND(E28&gt;0,F28&gt;0),E28*F28/60,0)</f>
        <v>0</v>
      </c>
      <c r="H28" s="16"/>
      <c r="I28" s="20" t="n">
        <f aca="false">IF(AND(E28&gt;0,H28&gt;0),E28*H28/60,0)</f>
        <v>0</v>
      </c>
      <c r="J28" s="20" t="n">
        <f aca="false">IF(I28&gt;G28,I28-G28,0)</f>
        <v>0</v>
      </c>
      <c r="K28" s="16"/>
      <c r="L28" s="37" t="n">
        <f aca="false">IF(AND(D28&gt;0,K28&gt;0),D28*K28,0)</f>
        <v>0</v>
      </c>
      <c r="M28" s="37" t="n">
        <f aca="false">J28*L28</f>
        <v>0</v>
      </c>
      <c r="N28" s="16"/>
      <c r="O28" s="16"/>
    </row>
    <row r="29" customFormat="false" ht="15" hidden="false" customHeight="true" outlineLevel="0" collapsed="false">
      <c r="A29" s="5" t="n">
        <v>26</v>
      </c>
      <c r="B29" s="15"/>
      <c r="C29" s="15"/>
      <c r="D29" s="15"/>
      <c r="E29" s="15"/>
      <c r="F29" s="15"/>
      <c r="G29" s="22" t="n">
        <f aca="false">IF(AND(E29&gt;0,F29&gt;0),E29*F29/60,0)</f>
        <v>0</v>
      </c>
      <c r="H29" s="15"/>
      <c r="I29" s="22" t="n">
        <f aca="false">IF(AND(E29&gt;0,H29&gt;0),E29*H29/60,0)</f>
        <v>0</v>
      </c>
      <c r="J29" s="22" t="n">
        <f aca="false">IF(I29&gt;G29,I29-G29,0)</f>
        <v>0</v>
      </c>
      <c r="K29" s="15"/>
      <c r="L29" s="29" t="n">
        <f aca="false">IF(AND(D29&gt;0,K29&gt;0),D29*K29,0)</f>
        <v>0</v>
      </c>
      <c r="M29" s="29" t="n">
        <f aca="false">J29*L29</f>
        <v>0</v>
      </c>
      <c r="N29" s="15"/>
      <c r="O29" s="15"/>
    </row>
    <row r="30" customFormat="false" ht="15" hidden="false" customHeight="true" outlineLevel="0" collapsed="false">
      <c r="A30" s="9" t="n">
        <v>27</v>
      </c>
      <c r="B30" s="16"/>
      <c r="C30" s="16"/>
      <c r="D30" s="16"/>
      <c r="E30" s="16"/>
      <c r="F30" s="16"/>
      <c r="G30" s="20" t="n">
        <f aca="false">IF(AND(E30&gt;0,F30&gt;0),E30*F30/60,0)</f>
        <v>0</v>
      </c>
      <c r="H30" s="16"/>
      <c r="I30" s="20" t="n">
        <f aca="false">IF(AND(E30&gt;0,H30&gt;0),E30*H30/60,0)</f>
        <v>0</v>
      </c>
      <c r="J30" s="20" t="n">
        <f aca="false">IF(I30&gt;G30,I30-G30,0)</f>
        <v>0</v>
      </c>
      <c r="K30" s="16"/>
      <c r="L30" s="37" t="n">
        <f aca="false">IF(AND(D30&gt;0,K30&gt;0),D30*K30,0)</f>
        <v>0</v>
      </c>
      <c r="M30" s="37" t="n">
        <f aca="false">J30*L30</f>
        <v>0</v>
      </c>
      <c r="N30" s="16"/>
      <c r="O30" s="16"/>
    </row>
    <row r="31" customFormat="false" ht="15" hidden="false" customHeight="true" outlineLevel="0" collapsed="false">
      <c r="A31" s="5" t="n">
        <v>28</v>
      </c>
      <c r="B31" s="15"/>
      <c r="C31" s="15"/>
      <c r="D31" s="15"/>
      <c r="E31" s="15"/>
      <c r="F31" s="15"/>
      <c r="G31" s="22" t="n">
        <f aca="false">IF(AND(E31&gt;0,F31&gt;0),E31*F31/60,0)</f>
        <v>0</v>
      </c>
      <c r="H31" s="15"/>
      <c r="I31" s="22" t="n">
        <f aca="false">IF(AND(E31&gt;0,H31&gt;0),E31*H31/60,0)</f>
        <v>0</v>
      </c>
      <c r="J31" s="22" t="n">
        <f aca="false">IF(I31&gt;G31,I31-G31,0)</f>
        <v>0</v>
      </c>
      <c r="K31" s="15"/>
      <c r="L31" s="29" t="n">
        <f aca="false">IF(AND(D31&gt;0,K31&gt;0),D31*K31,0)</f>
        <v>0</v>
      </c>
      <c r="M31" s="29" t="n">
        <f aca="false">J31*L31</f>
        <v>0</v>
      </c>
      <c r="N31" s="15"/>
      <c r="O31" s="15"/>
    </row>
    <row r="32" customFormat="false" ht="15" hidden="false" customHeight="true" outlineLevel="0" collapsed="false">
      <c r="A32" s="9" t="n">
        <v>29</v>
      </c>
      <c r="B32" s="16"/>
      <c r="C32" s="16"/>
      <c r="D32" s="16"/>
      <c r="E32" s="16"/>
      <c r="F32" s="16"/>
      <c r="G32" s="20" t="n">
        <f aca="false">IF(AND(E32&gt;0,F32&gt;0),E32*F32/60,0)</f>
        <v>0</v>
      </c>
      <c r="H32" s="16"/>
      <c r="I32" s="20" t="n">
        <f aca="false">IF(AND(E32&gt;0,H32&gt;0),E32*H32/60,0)</f>
        <v>0</v>
      </c>
      <c r="J32" s="20" t="n">
        <f aca="false">IF(I32&gt;G32,I32-G32,0)</f>
        <v>0</v>
      </c>
      <c r="K32" s="16"/>
      <c r="L32" s="37" t="n">
        <f aca="false">IF(AND(D32&gt;0,K32&gt;0),D32*K32,0)</f>
        <v>0</v>
      </c>
      <c r="M32" s="37" t="n">
        <f aca="false">J32*L32</f>
        <v>0</v>
      </c>
      <c r="N32" s="16"/>
      <c r="O32" s="16"/>
    </row>
    <row r="33" customFormat="false" ht="15" hidden="false" customHeight="true" outlineLevel="0" collapsed="false">
      <c r="A33" s="5" t="n">
        <v>30</v>
      </c>
      <c r="B33" s="15"/>
      <c r="C33" s="15"/>
      <c r="D33" s="15"/>
      <c r="E33" s="15"/>
      <c r="F33" s="15"/>
      <c r="G33" s="22" t="n">
        <f aca="false">IF(AND(E33&gt;0,F33&gt;0),E33*F33/60,0)</f>
        <v>0</v>
      </c>
      <c r="H33" s="15"/>
      <c r="I33" s="22" t="n">
        <f aca="false">IF(AND(E33&gt;0,H33&gt;0),E33*H33/60,0)</f>
        <v>0</v>
      </c>
      <c r="J33" s="22" t="n">
        <f aca="false">IF(I33&gt;G33,I33-G33,0)</f>
        <v>0</v>
      </c>
      <c r="K33" s="15"/>
      <c r="L33" s="29" t="n">
        <f aca="false">IF(AND(D33&gt;0,K33&gt;0),D33*K33,0)</f>
        <v>0</v>
      </c>
      <c r="M33" s="29" t="n">
        <f aca="false">J33*L33</f>
        <v>0</v>
      </c>
      <c r="N33" s="15"/>
      <c r="O33" s="15"/>
    </row>
    <row r="34" customFormat="false" ht="25.5" hidden="false" customHeight="true" outlineLevel="0" collapsed="false">
      <c r="A34" s="41" t="s">
        <v>102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customFormat="false" ht="17.25" hidden="false" customHeight="true" outlineLevel="0" collapsed="false">
      <c r="A35" s="42" t="s">
        <v>103</v>
      </c>
      <c r="B35" s="42"/>
      <c r="C35" s="42"/>
      <c r="D35" s="43" t="n">
        <f aca="false">SUM(D4:D33)</f>
        <v>106</v>
      </c>
      <c r="E35" s="44"/>
      <c r="F35" s="44"/>
      <c r="G35" s="44"/>
      <c r="H35" s="44"/>
      <c r="I35" s="44"/>
      <c r="J35" s="44"/>
      <c r="K35" s="44"/>
      <c r="L35" s="45" t="n">
        <f aca="false">SUM(L4:L33)</f>
        <v>3970</v>
      </c>
      <c r="M35" s="32" t="n">
        <f aca="false">SUM(M4:M33)</f>
        <v>7940</v>
      </c>
      <c r="N35" s="44"/>
      <c r="O35" s="44"/>
    </row>
    <row r="36" customFormat="false" ht="15" hidden="false" customHeight="true" outlineLevel="0" collapsed="false">
      <c r="A36" s="46" t="s">
        <v>104</v>
      </c>
      <c r="B36" s="46"/>
      <c r="C36" s="46"/>
      <c r="D36" s="46"/>
      <c r="E36" s="46"/>
      <c r="F36" s="46"/>
      <c r="G36" s="47" t="n">
        <f aca="false">M35*30</f>
        <v>238200</v>
      </c>
      <c r="H36" s="48"/>
      <c r="I36" s="48"/>
      <c r="J36" s="48"/>
      <c r="K36" s="48"/>
      <c r="L36" s="48"/>
      <c r="M36" s="48"/>
      <c r="N36" s="48"/>
      <c r="O36" s="48"/>
    </row>
    <row r="37" customFormat="false" ht="15" hidden="false" customHeight="true" outlineLevel="0" collapsed="false">
      <c r="A37" s="46" t="s">
        <v>105</v>
      </c>
      <c r="B37" s="46"/>
      <c r="C37" s="46"/>
      <c r="D37" s="46"/>
      <c r="E37" s="46"/>
      <c r="F37" s="46"/>
      <c r="G37" s="49" t="n">
        <f aca="false">M35*365/1000</f>
        <v>2898.1</v>
      </c>
      <c r="H37" s="48"/>
      <c r="I37" s="48"/>
      <c r="J37" s="48"/>
      <c r="K37" s="48"/>
      <c r="L37" s="48"/>
      <c r="M37" s="48"/>
      <c r="N37" s="48"/>
      <c r="O37" s="48"/>
    </row>
    <row r="38" customFormat="false" ht="15" hidden="false" customHeight="true" outlineLevel="0" collapsed="false">
      <c r="A38" s="46" t="s">
        <v>106</v>
      </c>
      <c r="B38" s="46"/>
      <c r="C38" s="46"/>
      <c r="D38" s="46"/>
      <c r="E38" s="46"/>
      <c r="F38" s="46"/>
      <c r="G38" s="50" t="n">
        <f aca="false">COUNTIF(N4:N33,"Working")</f>
        <v>0</v>
      </c>
      <c r="H38" s="48"/>
      <c r="I38" s="48"/>
      <c r="J38" s="48"/>
      <c r="K38" s="48"/>
      <c r="L38" s="48"/>
      <c r="M38" s="48"/>
      <c r="N38" s="48"/>
      <c r="O38" s="48"/>
    </row>
    <row r="39" customFormat="false" ht="15" hidden="false" customHeight="true" outlineLevel="0" collapsed="false">
      <c r="A39" s="46" t="s">
        <v>107</v>
      </c>
      <c r="B39" s="46"/>
      <c r="C39" s="46"/>
      <c r="D39" s="46"/>
      <c r="E39" s="46"/>
      <c r="F39" s="46"/>
      <c r="G39" s="50" t="n">
        <f aca="false">COUNTIF(N4:N33,"Needs Repair")</f>
        <v>0</v>
      </c>
      <c r="H39" s="48"/>
      <c r="I39" s="48"/>
      <c r="J39" s="48"/>
      <c r="K39" s="48"/>
      <c r="L39" s="48"/>
      <c r="M39" s="48"/>
      <c r="N39" s="48"/>
      <c r="O39" s="48"/>
    </row>
    <row r="40" customFormat="false" ht="15" hidden="false" customHeight="true" outlineLevel="0" collapsed="false">
      <c r="A40" s="46" t="s">
        <v>108</v>
      </c>
      <c r="B40" s="46"/>
      <c r="C40" s="46"/>
      <c r="D40" s="46"/>
      <c r="E40" s="46"/>
      <c r="F40" s="46"/>
      <c r="G40" s="47" t="n">
        <f aca="false">SUMPRODUCT(I4:I33,L4:L33)</f>
        <v>10586.6666666667</v>
      </c>
      <c r="H40" s="48"/>
      <c r="I40" s="48"/>
      <c r="J40" s="48"/>
      <c r="K40" s="48"/>
      <c r="L40" s="48"/>
      <c r="M40" s="48"/>
      <c r="N40" s="48"/>
      <c r="O40" s="48"/>
    </row>
    <row r="41" customFormat="false" ht="15" hidden="false" customHeight="true" outlineLevel="0" collapsed="false">
      <c r="A41" s="46" t="s">
        <v>109</v>
      </c>
      <c r="B41" s="46"/>
      <c r="C41" s="46"/>
      <c r="D41" s="46"/>
      <c r="E41" s="46"/>
      <c r="F41" s="46"/>
      <c r="G41" s="51" t="n">
        <f aca="false">IF(M40&gt;0,M35/M40*100,0)</f>
        <v>0</v>
      </c>
      <c r="H41" s="48"/>
      <c r="I41" s="48"/>
      <c r="J41" s="48"/>
      <c r="K41" s="48"/>
      <c r="L41" s="48"/>
      <c r="M41" s="48"/>
      <c r="N41" s="48"/>
      <c r="O41" s="48"/>
    </row>
    <row r="43" customFormat="false" ht="25.5" hidden="false" customHeight="true" outlineLevel="0" collapsed="false">
      <c r="A43" s="3" t="s">
        <v>110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5" hidden="false" customHeight="true" outlineLevel="0" collapsed="false">
      <c r="A44" s="4"/>
      <c r="B44" s="4" t="s">
        <v>111</v>
      </c>
      <c r="C44" s="4"/>
      <c r="D44" s="4" t="s">
        <v>112</v>
      </c>
      <c r="E44" s="4"/>
      <c r="F44" s="4"/>
      <c r="G44" s="4"/>
      <c r="H44" s="4"/>
      <c r="I44" s="4"/>
      <c r="J44" s="4"/>
      <c r="K44" s="4"/>
      <c r="L44" s="4" t="s">
        <v>113</v>
      </c>
      <c r="M44" s="4" t="s">
        <v>114</v>
      </c>
      <c r="N44" s="4"/>
      <c r="O44" s="4"/>
    </row>
    <row r="45" customFormat="false" ht="15" hidden="false" customHeight="true" outlineLevel="0" collapsed="false">
      <c r="A45" s="6" t="s">
        <v>85</v>
      </c>
      <c r="B45" s="6"/>
      <c r="C45" s="6"/>
      <c r="D45" s="8" t="n">
        <f aca="false">SUMPRODUCT((C4:C33="Academic")*D4:D33)</f>
        <v>38</v>
      </c>
      <c r="E45" s="18"/>
      <c r="F45" s="18"/>
      <c r="G45" s="18"/>
      <c r="H45" s="18"/>
      <c r="I45" s="18"/>
      <c r="J45" s="18"/>
      <c r="K45" s="18"/>
      <c r="L45" s="29" t="n">
        <f aca="false">SUMPRODUCT((C4:C33="Academic")*L4:L33)</f>
        <v>1310</v>
      </c>
      <c r="M45" s="40" t="n">
        <f aca="false">SUMPRODUCT((C4:C33="Academic")*M4:M33)</f>
        <v>2620</v>
      </c>
      <c r="N45" s="18"/>
      <c r="O45" s="18"/>
    </row>
    <row r="46" customFormat="false" ht="15" hidden="false" customHeight="true" outlineLevel="0" collapsed="false">
      <c r="A46" s="10" t="s">
        <v>92</v>
      </c>
      <c r="B46" s="10"/>
      <c r="C46" s="10"/>
      <c r="D46" s="12" t="n">
        <f aca="false">SUMPRODUCT((C4:C33="Hostel")*D4:D33)</f>
        <v>44</v>
      </c>
      <c r="E46" s="17"/>
      <c r="F46" s="17"/>
      <c r="G46" s="17"/>
      <c r="H46" s="17"/>
      <c r="I46" s="17"/>
      <c r="J46" s="17"/>
      <c r="K46" s="17"/>
      <c r="L46" s="37" t="n">
        <f aca="false">SUMPRODUCT((C4:C33="Hostel")*L4:L33)</f>
        <v>1660</v>
      </c>
      <c r="M46" s="38" t="n">
        <f aca="false">SUMPRODUCT((C4:C33="Hostel")*M4:M33)</f>
        <v>3320</v>
      </c>
      <c r="N46" s="17"/>
      <c r="O46" s="17"/>
    </row>
    <row r="47" customFormat="false" ht="15" hidden="false" customHeight="true" outlineLevel="0" collapsed="false">
      <c r="A47" s="6" t="s">
        <v>115</v>
      </c>
      <c r="B47" s="6"/>
      <c r="C47" s="6"/>
      <c r="D47" s="8" t="n">
        <f aca="false">SUMPRODUCT((C4:C33="Support")*D4:D33)</f>
        <v>24</v>
      </c>
      <c r="E47" s="18"/>
      <c r="F47" s="18"/>
      <c r="G47" s="18"/>
      <c r="H47" s="18"/>
      <c r="I47" s="18"/>
      <c r="J47" s="18"/>
      <c r="K47" s="18"/>
      <c r="L47" s="29" t="n">
        <f aca="false">SUMPRODUCT((C4:C33="Support")*L4:L33)</f>
        <v>1000</v>
      </c>
      <c r="M47" s="40" t="n">
        <f aca="false">SUMPRODUCT((C4:C33="Support")*M4:M33)</f>
        <v>2000</v>
      </c>
      <c r="N47" s="18"/>
      <c r="O47" s="18"/>
    </row>
  </sheetData>
  <mergeCells count="14">
    <mergeCell ref="A1:O1"/>
    <mergeCell ref="A2:O2"/>
    <mergeCell ref="A34:O34"/>
    <mergeCell ref="A35:C35"/>
    <mergeCell ref="A36:F36"/>
    <mergeCell ref="A37:F37"/>
    <mergeCell ref="A38:F38"/>
    <mergeCell ref="A39:F39"/>
    <mergeCell ref="A40:F40"/>
    <mergeCell ref="A41:F41"/>
    <mergeCell ref="A43:O43"/>
    <mergeCell ref="A45:C45"/>
    <mergeCell ref="A46:C46"/>
    <mergeCell ref="A47:C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8" min="3" style="1" width="18"/>
    <col collapsed="false" customWidth="true" hidden="false" outlineLevel="0" max="9" min="9" style="1" width="14"/>
  </cols>
  <sheetData>
    <row r="1" customFormat="false" ht="33.75" hidden="false" customHeight="true" outlineLevel="0" collapsed="false">
      <c r="A1" s="52" t="s">
        <v>116</v>
      </c>
      <c r="B1" s="52"/>
      <c r="C1" s="52"/>
      <c r="D1" s="52"/>
      <c r="E1" s="52"/>
      <c r="F1" s="52"/>
      <c r="G1" s="52"/>
      <c r="H1" s="52"/>
      <c r="I1" s="52"/>
    </row>
    <row r="2" customFormat="false" ht="25.5" hidden="false" customHeight="true" outlineLevel="0" collapsed="false">
      <c r="A2" s="13" t="s">
        <v>117</v>
      </c>
      <c r="B2" s="13"/>
      <c r="C2" s="13"/>
      <c r="D2" s="13"/>
      <c r="E2" s="13"/>
      <c r="F2" s="13"/>
      <c r="G2" s="13"/>
      <c r="H2" s="13"/>
      <c r="I2" s="13"/>
    </row>
    <row r="3" customFormat="false" ht="15" hidden="false" customHeight="true" outlineLevel="0" collapsed="false">
      <c r="A3" s="14" t="s">
        <v>2</v>
      </c>
      <c r="B3" s="14" t="s">
        <v>3</v>
      </c>
      <c r="C3" s="14" t="s">
        <v>118</v>
      </c>
      <c r="D3" s="14" t="s">
        <v>119</v>
      </c>
      <c r="E3" s="14" t="s">
        <v>120</v>
      </c>
      <c r="F3" s="14" t="s">
        <v>121</v>
      </c>
      <c r="G3" s="14" t="s">
        <v>122</v>
      </c>
      <c r="H3" s="14" t="s">
        <v>123</v>
      </c>
    </row>
    <row r="4" customFormat="false" ht="27.75" hidden="false" customHeight="true" outlineLevel="0" collapsed="false">
      <c r="A4" s="9" t="n">
        <v>1</v>
      </c>
      <c r="B4" s="10" t="s">
        <v>124</v>
      </c>
      <c r="C4" s="9" t="s">
        <v>125</v>
      </c>
      <c r="D4" s="12" t="s">
        <v>126</v>
      </c>
      <c r="E4" s="53" t="s">
        <v>127</v>
      </c>
      <c r="F4" s="12"/>
      <c r="G4" s="16"/>
      <c r="H4" s="16"/>
      <c r="I4" s="16"/>
    </row>
    <row r="5" customFormat="false" ht="27.75" hidden="false" customHeight="true" outlineLevel="0" collapsed="false">
      <c r="A5" s="5" t="n">
        <v>2</v>
      </c>
      <c r="B5" s="6" t="s">
        <v>128</v>
      </c>
      <c r="C5" s="5" t="s">
        <v>129</v>
      </c>
      <c r="D5" s="8" t="s">
        <v>130</v>
      </c>
      <c r="E5" s="54" t="s">
        <v>23</v>
      </c>
      <c r="F5" s="8" t="s">
        <v>131</v>
      </c>
      <c r="G5" s="15"/>
      <c r="H5" s="15"/>
      <c r="I5" s="15"/>
    </row>
    <row r="6" customFormat="false" ht="27.75" hidden="false" customHeight="true" outlineLevel="0" collapsed="false">
      <c r="A6" s="9" t="n">
        <v>3</v>
      </c>
      <c r="B6" s="10" t="s">
        <v>132</v>
      </c>
      <c r="C6" s="9" t="s">
        <v>133</v>
      </c>
      <c r="D6" s="12" t="s">
        <v>134</v>
      </c>
      <c r="E6" s="53" t="s">
        <v>135</v>
      </c>
      <c r="F6" s="12" t="s">
        <v>131</v>
      </c>
      <c r="G6" s="16"/>
      <c r="H6" s="16"/>
      <c r="I6" s="16"/>
    </row>
    <row r="7" customFormat="false" ht="27.75" hidden="false" customHeight="true" outlineLevel="0" collapsed="false">
      <c r="A7" s="5" t="n">
        <v>4</v>
      </c>
      <c r="B7" s="6" t="s">
        <v>136</v>
      </c>
      <c r="C7" s="5" t="s">
        <v>137</v>
      </c>
      <c r="D7" s="8" t="s">
        <v>138</v>
      </c>
      <c r="E7" s="54" t="s">
        <v>139</v>
      </c>
      <c r="F7" s="8" t="s">
        <v>131</v>
      </c>
      <c r="G7" s="15"/>
      <c r="H7" s="15"/>
      <c r="I7" s="15"/>
    </row>
    <row r="8" customFormat="false" ht="27.75" hidden="false" customHeight="true" outlineLevel="0" collapsed="false">
      <c r="A8" s="9" t="n">
        <v>5</v>
      </c>
      <c r="B8" s="10" t="s">
        <v>140</v>
      </c>
      <c r="C8" s="9" t="s">
        <v>141</v>
      </c>
      <c r="D8" s="12" t="s">
        <v>142</v>
      </c>
      <c r="E8" s="53" t="s">
        <v>143</v>
      </c>
      <c r="F8" s="12" t="s">
        <v>131</v>
      </c>
      <c r="G8" s="16"/>
      <c r="H8" s="16"/>
      <c r="I8" s="16"/>
    </row>
    <row r="9" customFormat="false" ht="27.75" hidden="false" customHeight="true" outlineLevel="0" collapsed="false">
      <c r="A9" s="5" t="n">
        <v>6</v>
      </c>
      <c r="B9" s="6" t="s">
        <v>144</v>
      </c>
      <c r="C9" s="5" t="s">
        <v>145</v>
      </c>
      <c r="D9" s="8" t="s">
        <v>146</v>
      </c>
      <c r="E9" s="54" t="s">
        <v>147</v>
      </c>
      <c r="F9" s="8" t="s">
        <v>131</v>
      </c>
      <c r="G9" s="15"/>
      <c r="H9" s="15"/>
      <c r="I9" s="15"/>
    </row>
    <row r="10" customFormat="false" ht="27.75" hidden="false" customHeight="true" outlineLevel="0" collapsed="false">
      <c r="A10" s="9" t="n">
        <v>7</v>
      </c>
      <c r="B10" s="10" t="s">
        <v>148</v>
      </c>
      <c r="C10" s="9" t="s">
        <v>149</v>
      </c>
      <c r="D10" s="12" t="s">
        <v>150</v>
      </c>
      <c r="E10" s="53" t="s">
        <v>151</v>
      </c>
      <c r="F10" s="12" t="s">
        <v>152</v>
      </c>
      <c r="G10" s="16"/>
      <c r="H10" s="16"/>
      <c r="I10" s="16"/>
    </row>
    <row r="11" customFormat="false" ht="27.75" hidden="false" customHeight="true" outlineLevel="0" collapsed="false">
      <c r="A11" s="5" t="n">
        <v>8</v>
      </c>
      <c r="B11" s="6" t="s">
        <v>153</v>
      </c>
      <c r="C11" s="5" t="s">
        <v>154</v>
      </c>
      <c r="D11" s="8" t="s">
        <v>154</v>
      </c>
      <c r="E11" s="54" t="s">
        <v>155</v>
      </c>
      <c r="F11" s="8" t="s">
        <v>156</v>
      </c>
      <c r="G11" s="15"/>
      <c r="H11" s="15"/>
      <c r="I11" s="15"/>
    </row>
    <row r="12" customFormat="false" ht="27.75" hidden="false" customHeight="true" outlineLevel="0" collapsed="false">
      <c r="A12" s="9" t="n">
        <v>9</v>
      </c>
      <c r="B12" s="10" t="s">
        <v>36</v>
      </c>
      <c r="C12" s="9" t="s">
        <v>157</v>
      </c>
      <c r="D12" s="12" t="s">
        <v>158</v>
      </c>
      <c r="E12" s="53" t="s">
        <v>159</v>
      </c>
      <c r="F12" s="12" t="s">
        <v>160</v>
      </c>
      <c r="G12" s="16"/>
      <c r="H12" s="16"/>
      <c r="I12" s="16"/>
    </row>
    <row r="13" customFormat="false" ht="27.75" hidden="false" customHeight="true" outlineLevel="0" collapsed="false">
      <c r="A13" s="5" t="n">
        <v>10</v>
      </c>
      <c r="B13" s="6" t="s">
        <v>161</v>
      </c>
      <c r="C13" s="5" t="s">
        <v>162</v>
      </c>
      <c r="D13" s="8" t="s">
        <v>163</v>
      </c>
      <c r="E13" s="54" t="s">
        <v>164</v>
      </c>
      <c r="F13" s="8" t="s">
        <v>165</v>
      </c>
      <c r="G13" s="15"/>
      <c r="H13" s="15"/>
      <c r="I13" s="15"/>
    </row>
    <row r="14" customFormat="false" ht="27.75" hidden="false" customHeight="true" outlineLevel="0" collapsed="false">
      <c r="A14" s="9" t="n">
        <v>11</v>
      </c>
      <c r="B14" s="10" t="s">
        <v>166</v>
      </c>
      <c r="C14" s="9" t="s">
        <v>167</v>
      </c>
      <c r="D14" s="12" t="s">
        <v>168</v>
      </c>
      <c r="E14" s="53" t="s">
        <v>169</v>
      </c>
      <c r="F14" s="12" t="s">
        <v>170</v>
      </c>
      <c r="G14" s="16"/>
      <c r="H14" s="16"/>
      <c r="I14" s="16"/>
    </row>
    <row r="15" customFormat="false" ht="27.75" hidden="false" customHeight="true" outlineLevel="0" collapsed="false">
      <c r="A15" s="5" t="n">
        <v>12</v>
      </c>
      <c r="B15" s="6" t="s">
        <v>171</v>
      </c>
      <c r="C15" s="5" t="s">
        <v>172</v>
      </c>
      <c r="D15" s="8" t="s">
        <v>35</v>
      </c>
      <c r="E15" s="54" t="s">
        <v>173</v>
      </c>
      <c r="F15" s="8"/>
      <c r="G15" s="15"/>
      <c r="H15" s="15"/>
      <c r="I15" s="15"/>
    </row>
    <row r="16" customFormat="false" ht="27.75" hidden="false" customHeight="true" outlineLevel="0" collapsed="false">
      <c r="A16" s="9" t="n">
        <v>13</v>
      </c>
      <c r="B16" s="10" t="s">
        <v>39</v>
      </c>
      <c r="C16" s="9" t="s">
        <v>174</v>
      </c>
      <c r="D16" s="12" t="s">
        <v>41</v>
      </c>
      <c r="E16" s="53" t="s">
        <v>175</v>
      </c>
      <c r="F16" s="12" t="s">
        <v>176</v>
      </c>
      <c r="G16" s="16"/>
      <c r="H16" s="16"/>
      <c r="I16" s="16"/>
    </row>
    <row r="19" customFormat="false" ht="25.5" hidden="false" customHeight="true" outlineLevel="0" collapsed="false">
      <c r="A19" s="41" t="s">
        <v>177</v>
      </c>
      <c r="B19" s="41"/>
      <c r="C19" s="41"/>
      <c r="D19" s="41"/>
      <c r="E19" s="41"/>
      <c r="F19" s="41"/>
      <c r="G19" s="41"/>
      <c r="H19" s="41"/>
      <c r="I19" s="41"/>
    </row>
    <row r="20" customFormat="false" ht="15" hidden="false" customHeight="true" outlineLevel="0" collapsed="false">
      <c r="A20" s="55" t="s">
        <v>2</v>
      </c>
      <c r="B20" s="55" t="s">
        <v>178</v>
      </c>
      <c r="C20" s="55" t="s">
        <v>5</v>
      </c>
      <c r="D20" s="55" t="s">
        <v>179</v>
      </c>
      <c r="E20" s="55"/>
      <c r="F20" s="55"/>
      <c r="G20" s="55"/>
      <c r="H20" s="55"/>
      <c r="I20" s="55"/>
    </row>
    <row r="21" customFormat="false" ht="15" hidden="false" customHeight="true" outlineLevel="0" collapsed="false">
      <c r="A21" s="5" t="n">
        <v>1</v>
      </c>
      <c r="B21" s="6" t="s">
        <v>180</v>
      </c>
      <c r="C21" s="15"/>
      <c r="D21" s="5" t="s">
        <v>181</v>
      </c>
      <c r="E21" s="18"/>
      <c r="F21" s="18"/>
      <c r="G21" s="18"/>
      <c r="H21" s="18"/>
      <c r="I21" s="18"/>
    </row>
    <row r="22" customFormat="false" ht="15" hidden="false" customHeight="true" outlineLevel="0" collapsed="false">
      <c r="A22" s="9" t="n">
        <v>2</v>
      </c>
      <c r="B22" s="10" t="s">
        <v>182</v>
      </c>
      <c r="C22" s="16" t="n">
        <v>500</v>
      </c>
      <c r="D22" s="9" t="s">
        <v>183</v>
      </c>
      <c r="E22" s="17"/>
      <c r="F22" s="17"/>
      <c r="G22" s="17"/>
      <c r="H22" s="17"/>
      <c r="I22" s="17"/>
    </row>
    <row r="23" customFormat="false" ht="15" hidden="false" customHeight="true" outlineLevel="0" collapsed="false">
      <c r="A23" s="5" t="n">
        <v>3</v>
      </c>
      <c r="B23" s="6" t="s">
        <v>184</v>
      </c>
      <c r="C23" s="29" t="n">
        <f aca="false">IF(AND(C21&gt;0,C22&gt;0),C21*C22,0)</f>
        <v>0</v>
      </c>
      <c r="D23" s="5" t="s">
        <v>183</v>
      </c>
      <c r="E23" s="18"/>
      <c r="F23" s="18"/>
      <c r="G23" s="18"/>
      <c r="H23" s="18"/>
      <c r="I23" s="18"/>
    </row>
    <row r="24" customFormat="false" ht="23.25" hidden="false" customHeight="true" outlineLevel="0" collapsed="false">
      <c r="A24" s="9" t="n">
        <v>4</v>
      </c>
      <c r="B24" s="10" t="s">
        <v>185</v>
      </c>
      <c r="C24" s="56" t="n">
        <f aca="false">'2. Tap Inventory &amp; Savings'!M35*365/1000</f>
        <v>2898.1</v>
      </c>
      <c r="D24" s="9" t="s">
        <v>186</v>
      </c>
      <c r="E24" s="17"/>
      <c r="F24" s="17"/>
      <c r="G24" s="17"/>
      <c r="H24" s="17"/>
      <c r="I24" s="17"/>
    </row>
    <row r="25" customFormat="false" ht="15" hidden="false" customHeight="true" outlineLevel="0" collapsed="false">
      <c r="A25" s="5" t="n">
        <v>5</v>
      </c>
      <c r="B25" s="6" t="s">
        <v>187</v>
      </c>
      <c r="C25" s="15" t="n">
        <v>5</v>
      </c>
      <c r="D25" s="5" t="s">
        <v>188</v>
      </c>
      <c r="E25" s="18"/>
      <c r="F25" s="18"/>
      <c r="G25" s="18"/>
      <c r="H25" s="18"/>
      <c r="I25" s="18"/>
    </row>
    <row r="26" customFormat="false" ht="15" hidden="false" customHeight="true" outlineLevel="0" collapsed="false">
      <c r="A26" s="9" t="n">
        <v>6</v>
      </c>
      <c r="B26" s="10" t="s">
        <v>189</v>
      </c>
      <c r="C26" s="57" t="n">
        <f aca="false">C24*C25</f>
        <v>14490.5</v>
      </c>
      <c r="D26" s="9" t="s">
        <v>183</v>
      </c>
      <c r="E26" s="17"/>
      <c r="F26" s="17"/>
      <c r="G26" s="17"/>
      <c r="H26" s="17"/>
      <c r="I26" s="17"/>
    </row>
    <row r="27" customFormat="false" ht="23.25" hidden="false" customHeight="true" outlineLevel="0" collapsed="false">
      <c r="A27" s="5" t="n">
        <v>7</v>
      </c>
      <c r="B27" s="6" t="s">
        <v>190</v>
      </c>
      <c r="C27" s="58" t="n">
        <f aca="false">IF(C26&gt;0,C23/C26*12,0)</f>
        <v>0</v>
      </c>
      <c r="D27" s="5" t="s">
        <v>191</v>
      </c>
      <c r="E27" s="18"/>
      <c r="F27" s="18"/>
      <c r="G27" s="18"/>
      <c r="H27" s="18"/>
      <c r="I27" s="18"/>
    </row>
  </sheetData>
  <mergeCells count="3">
    <mergeCell ref="A1:I1"/>
    <mergeCell ref="A2:I2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8" min="4" style="1" width="14"/>
    <col collapsed="false" customWidth="true" hidden="false" outlineLevel="0" max="10" min="9" style="1" width="18"/>
    <col collapsed="false" customWidth="true" hidden="false" outlineLevel="0" max="11" min="11" style="1" width="14"/>
  </cols>
  <sheetData>
    <row r="1" customFormat="false" ht="33.75" hidden="false" customHeight="true" outlineLevel="0" collapsed="false">
      <c r="A1" s="2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5.5" hidden="false" customHeight="true" outlineLevel="0" collapsed="false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71</v>
      </c>
      <c r="B3" s="4" t="s">
        <v>3</v>
      </c>
      <c r="C3" s="4" t="s">
        <v>179</v>
      </c>
      <c r="D3" s="4" t="s">
        <v>194</v>
      </c>
      <c r="E3" s="4" t="s">
        <v>195</v>
      </c>
      <c r="F3" s="4" t="s">
        <v>196</v>
      </c>
      <c r="G3" s="4" t="s">
        <v>197</v>
      </c>
      <c r="H3" s="4" t="s">
        <v>198</v>
      </c>
      <c r="I3" s="4" t="s">
        <v>199</v>
      </c>
      <c r="J3" s="4" t="s">
        <v>200</v>
      </c>
      <c r="K3" s="4" t="s">
        <v>201</v>
      </c>
    </row>
    <row r="4" customFormat="false" ht="15" hidden="false" customHeight="true" outlineLevel="0" collapsed="false">
      <c r="A4" s="9" t="n">
        <v>1</v>
      </c>
      <c r="B4" s="19" t="s">
        <v>202</v>
      </c>
      <c r="C4" s="16"/>
      <c r="D4" s="16"/>
      <c r="E4" s="16"/>
      <c r="F4" s="16"/>
      <c r="G4" s="16"/>
      <c r="H4" s="16"/>
      <c r="I4" s="12" t="n">
        <f aca="false">IF(AND(D4&gt;0,H4&gt;0),H4-D4,0)</f>
        <v>0</v>
      </c>
      <c r="J4" s="59" t="n">
        <f aca="false">IFERROR(IF(D4&gt;0,(H4-D4)/D4*100,0),0)</f>
        <v>0</v>
      </c>
      <c r="K4" s="12" t="str">
        <f aca="false">IF(I4&gt;0,"Improving",IF(I4=0,"Stable","Declining"))</f>
        <v>Stable</v>
      </c>
    </row>
    <row r="5" customFormat="false" ht="15" hidden="false" customHeight="true" outlineLevel="0" collapsed="false">
      <c r="A5" s="5" t="n">
        <v>2</v>
      </c>
      <c r="B5" s="21" t="s">
        <v>203</v>
      </c>
      <c r="C5" s="15"/>
      <c r="D5" s="15"/>
      <c r="E5" s="15"/>
      <c r="F5" s="15"/>
      <c r="G5" s="15"/>
      <c r="H5" s="15"/>
      <c r="I5" s="8" t="n">
        <f aca="false">IF(AND(D5&gt;0,H5&gt;0),H5-D5,0)</f>
        <v>0</v>
      </c>
      <c r="J5" s="60" t="n">
        <f aca="false">IFERROR(IF(D5&gt;0,(H5-D5)/D5*100,0),0)</f>
        <v>0</v>
      </c>
      <c r="K5" s="8" t="str">
        <f aca="false">IF(I5&gt;0,"Improving",IF(I5=0,"Stable","Declining"))</f>
        <v>Stable</v>
      </c>
    </row>
    <row r="6" customFormat="false" ht="15" hidden="false" customHeight="true" outlineLevel="0" collapsed="false">
      <c r="A6" s="9" t="n">
        <v>3</v>
      </c>
      <c r="B6" s="19" t="s">
        <v>204</v>
      </c>
      <c r="C6" s="16"/>
      <c r="D6" s="16"/>
      <c r="E6" s="16"/>
      <c r="F6" s="16"/>
      <c r="G6" s="16"/>
      <c r="H6" s="16"/>
      <c r="I6" s="12" t="n">
        <f aca="false">IF(AND(D6&gt;0,H6&gt;0),H6-D6,0)</f>
        <v>0</v>
      </c>
      <c r="J6" s="59" t="n">
        <f aca="false">IFERROR(IF(D6&gt;0,(H6-D6)/D6*100,0),0)</f>
        <v>0</v>
      </c>
      <c r="K6" s="12" t="str">
        <f aca="false">IF(I6&gt;0,"Improving",IF(I6=0,"Stable","Declining"))</f>
        <v>Stable</v>
      </c>
    </row>
    <row r="7" customFormat="false" ht="15" hidden="false" customHeight="true" outlineLevel="0" collapsed="false">
      <c r="A7" s="5" t="n">
        <v>4</v>
      </c>
      <c r="B7" s="21" t="s">
        <v>205</v>
      </c>
      <c r="C7" s="15"/>
      <c r="D7" s="15"/>
      <c r="E7" s="15"/>
      <c r="F7" s="15"/>
      <c r="G7" s="15"/>
      <c r="H7" s="15"/>
      <c r="I7" s="8" t="n">
        <f aca="false">IF(AND(D7&gt;0,H7&gt;0),H7-D7,0)</f>
        <v>0</v>
      </c>
      <c r="J7" s="60" t="n">
        <f aca="false">IFERROR(IF(D7&gt;0,(H7-D7)/D7*100,0),0)</f>
        <v>0</v>
      </c>
      <c r="K7" s="8" t="str">
        <f aca="false">IF(I7&gt;0,"Improving",IF(I7=0,"Stable","Declining"))</f>
        <v>Stable</v>
      </c>
    </row>
    <row r="8" customFormat="false" ht="15" hidden="false" customHeight="true" outlineLevel="0" collapsed="false">
      <c r="A8" s="9" t="n">
        <v>5</v>
      </c>
      <c r="B8" s="19" t="s">
        <v>206</v>
      </c>
      <c r="C8" s="16"/>
      <c r="D8" s="16"/>
      <c r="E8" s="16"/>
      <c r="F8" s="16"/>
      <c r="G8" s="16"/>
      <c r="H8" s="16"/>
      <c r="I8" s="12" t="n">
        <f aca="false">IF(AND(D8&gt;0,H8&gt;0),H8-D8,0)</f>
        <v>0</v>
      </c>
      <c r="J8" s="59" t="n">
        <f aca="false">IFERROR(IF(D8&gt;0,(H8-D8)/D8*100,0),0)</f>
        <v>0</v>
      </c>
      <c r="K8" s="12" t="str">
        <f aca="false">IF(I8&gt;0,"Improving",IF(I8=0,"Stable","Declining"))</f>
        <v>Stable</v>
      </c>
    </row>
    <row r="9" customFormat="false" ht="15" hidden="false" customHeight="true" outlineLevel="0" collapsed="false">
      <c r="A9" s="5" t="n">
        <v>6</v>
      </c>
      <c r="B9" s="21" t="s">
        <v>207</v>
      </c>
      <c r="C9" s="15"/>
      <c r="D9" s="15"/>
      <c r="E9" s="15"/>
      <c r="F9" s="15"/>
      <c r="G9" s="15"/>
      <c r="H9" s="15"/>
      <c r="I9" s="8" t="n">
        <f aca="false">IF(AND(D9&gt;0,H9&gt;0),H9-D9,0)</f>
        <v>0</v>
      </c>
      <c r="J9" s="60" t="n">
        <f aca="false">IFERROR(IF(D9&gt;0,(H9-D9)/D9*100,0),0)</f>
        <v>0</v>
      </c>
      <c r="K9" s="8" t="str">
        <f aca="false">IF(I9&gt;0,"Improving",IF(I9=0,"Stable","Declining"))</f>
        <v>Stable</v>
      </c>
    </row>
    <row r="10" customFormat="false" ht="15" hidden="false" customHeight="true" outlineLevel="0" collapsed="false">
      <c r="A10" s="9" t="n">
        <v>7</v>
      </c>
      <c r="B10" s="19" t="s">
        <v>208</v>
      </c>
      <c r="C10" s="16"/>
      <c r="D10" s="16"/>
      <c r="E10" s="16"/>
      <c r="F10" s="16"/>
      <c r="G10" s="16"/>
      <c r="H10" s="16"/>
      <c r="I10" s="12" t="n">
        <f aca="false">IF(AND(D10&gt;0,H10&gt;0),H10-D10,0)</f>
        <v>0</v>
      </c>
      <c r="J10" s="59" t="n">
        <f aca="false">IFERROR(IF(D10&gt;0,(H10-D10)/D10*100,0),0)</f>
        <v>0</v>
      </c>
      <c r="K10" s="12" t="str">
        <f aca="false">IF(I10&gt;0,"Improving",IF(I10=0,"Stable","Declining"))</f>
        <v>Stable</v>
      </c>
    </row>
    <row r="11" customFormat="false" ht="15" hidden="false" customHeight="true" outlineLevel="0" collapsed="false">
      <c r="A11" s="5" t="n">
        <v>8</v>
      </c>
      <c r="B11" s="21" t="s">
        <v>209</v>
      </c>
      <c r="C11" s="15"/>
      <c r="D11" s="15"/>
      <c r="E11" s="15"/>
      <c r="F11" s="15"/>
      <c r="G11" s="15"/>
      <c r="H11" s="15"/>
      <c r="I11" s="8" t="n">
        <f aca="false">IF(AND(D11&gt;0,H11&gt;0),H11-D11,0)</f>
        <v>0</v>
      </c>
      <c r="J11" s="60" t="n">
        <f aca="false">IFERROR(IF(D11&gt;0,(H11-D11)/D11*100,0),0)</f>
        <v>0</v>
      </c>
      <c r="K11" s="8" t="str">
        <f aca="false">IF(I11&gt;0,"Improving",IF(I11=0,"Stable","Declining"))</f>
        <v>Stable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5" min="4" style="1" width="16"/>
    <col collapsed="false" customWidth="true" hidden="false" outlineLevel="0" max="6" min="6" style="1" width="22"/>
  </cols>
  <sheetData>
    <row r="1" customFormat="false" ht="33.75" hidden="false" customHeight="true" outlineLevel="0" collapsed="false">
      <c r="A1" s="61" t="s">
        <v>210</v>
      </c>
      <c r="B1" s="61"/>
      <c r="C1" s="61"/>
      <c r="D1" s="61"/>
      <c r="E1" s="61"/>
      <c r="F1" s="61"/>
    </row>
    <row r="2" customFormat="false" ht="25.5" hidden="false" customHeight="true" outlineLevel="0" collapsed="false">
      <c r="A2" s="62" t="s">
        <v>211</v>
      </c>
      <c r="B2" s="62"/>
      <c r="C2" s="62"/>
      <c r="D2" s="62"/>
      <c r="E2" s="62"/>
      <c r="F2" s="62"/>
    </row>
    <row r="3" customFormat="false" ht="15" hidden="false" customHeight="true" outlineLevel="0" collapsed="false">
      <c r="A3" s="63" t="s">
        <v>2</v>
      </c>
      <c r="B3" s="63" t="s">
        <v>212</v>
      </c>
      <c r="C3" s="63" t="s">
        <v>213</v>
      </c>
      <c r="D3" s="63" t="s">
        <v>214</v>
      </c>
      <c r="E3" s="63" t="s">
        <v>215</v>
      </c>
      <c r="F3" s="63" t="s">
        <v>216</v>
      </c>
    </row>
    <row r="4" customFormat="false" ht="31.5" hidden="false" customHeight="true" outlineLevel="0" collapsed="false">
      <c r="A4" s="64" t="n">
        <v>1</v>
      </c>
      <c r="B4" s="65" t="s">
        <v>217</v>
      </c>
      <c r="C4" s="66" t="s">
        <v>218</v>
      </c>
      <c r="D4" s="67"/>
      <c r="E4" s="67"/>
      <c r="F4" s="67"/>
    </row>
    <row r="5" customFormat="false" ht="31.5" hidden="false" customHeight="true" outlineLevel="0" collapsed="false">
      <c r="A5" s="5" t="n">
        <v>2</v>
      </c>
      <c r="B5" s="6" t="s">
        <v>219</v>
      </c>
      <c r="C5" s="7" t="s">
        <v>220</v>
      </c>
      <c r="D5" s="15"/>
      <c r="E5" s="15"/>
      <c r="F5" s="15"/>
    </row>
    <row r="6" customFormat="false" ht="31.5" hidden="false" customHeight="true" outlineLevel="0" collapsed="false">
      <c r="A6" s="64" t="n">
        <v>3</v>
      </c>
      <c r="B6" s="65" t="s">
        <v>221</v>
      </c>
      <c r="C6" s="66" t="s">
        <v>222</v>
      </c>
      <c r="D6" s="67"/>
      <c r="E6" s="67"/>
      <c r="F6" s="67"/>
    </row>
    <row r="7" customFormat="false" ht="31.5" hidden="false" customHeight="true" outlineLevel="0" collapsed="false">
      <c r="A7" s="5" t="n">
        <v>4</v>
      </c>
      <c r="B7" s="6" t="s">
        <v>223</v>
      </c>
      <c r="C7" s="7" t="s">
        <v>224</v>
      </c>
      <c r="D7" s="15"/>
      <c r="E7" s="15"/>
      <c r="F7" s="15"/>
    </row>
    <row r="8" customFormat="false" ht="31.5" hidden="false" customHeight="true" outlineLevel="0" collapsed="false">
      <c r="A8" s="64" t="n">
        <v>5</v>
      </c>
      <c r="B8" s="65" t="s">
        <v>225</v>
      </c>
      <c r="C8" s="66" t="s">
        <v>226</v>
      </c>
      <c r="D8" s="67"/>
      <c r="E8" s="67"/>
      <c r="F8" s="67"/>
    </row>
    <row r="9" customFormat="false" ht="31.5" hidden="false" customHeight="true" outlineLevel="0" collapsed="false">
      <c r="A9" s="5" t="n">
        <v>6</v>
      </c>
      <c r="B9" s="6" t="s">
        <v>227</v>
      </c>
      <c r="C9" s="7" t="s">
        <v>228</v>
      </c>
      <c r="D9" s="15"/>
      <c r="E9" s="15"/>
      <c r="F9" s="15"/>
    </row>
    <row r="10" customFormat="false" ht="31.5" hidden="false" customHeight="true" outlineLevel="0" collapsed="false">
      <c r="A10" s="64" t="n">
        <v>7</v>
      </c>
      <c r="B10" s="65" t="s">
        <v>229</v>
      </c>
      <c r="C10" s="66" t="s">
        <v>230</v>
      </c>
      <c r="D10" s="67"/>
      <c r="E10" s="67"/>
      <c r="F10" s="67"/>
    </row>
    <row r="11" customFormat="false" ht="31.5" hidden="false" customHeight="true" outlineLevel="0" collapsed="false">
      <c r="A11" s="5" t="n">
        <v>8</v>
      </c>
      <c r="B11" s="6" t="s">
        <v>231</v>
      </c>
      <c r="C11" s="7" t="s">
        <v>232</v>
      </c>
      <c r="D11" s="15"/>
      <c r="E11" s="15"/>
      <c r="F11" s="15"/>
    </row>
    <row r="12" customFormat="false" ht="31.5" hidden="false" customHeight="true" outlineLevel="0" collapsed="false">
      <c r="A12" s="64" t="n">
        <v>9</v>
      </c>
      <c r="B12" s="65" t="s">
        <v>233</v>
      </c>
      <c r="C12" s="66" t="s">
        <v>234</v>
      </c>
      <c r="D12" s="67"/>
      <c r="E12" s="67"/>
      <c r="F12" s="67"/>
    </row>
    <row r="13" customFormat="false" ht="31.5" hidden="false" customHeight="true" outlineLevel="0" collapsed="false">
      <c r="A13" s="5" t="n">
        <v>10</v>
      </c>
      <c r="B13" s="6" t="s">
        <v>235</v>
      </c>
      <c r="C13" s="7" t="s">
        <v>236</v>
      </c>
      <c r="D13" s="15"/>
      <c r="E13" s="15"/>
      <c r="F13" s="15"/>
    </row>
    <row r="14" customFormat="false" ht="31.5" hidden="false" customHeight="true" outlineLevel="0" collapsed="false">
      <c r="A14" s="64" t="n">
        <v>11</v>
      </c>
      <c r="B14" s="65" t="s">
        <v>237</v>
      </c>
      <c r="C14" s="66" t="s">
        <v>238</v>
      </c>
      <c r="D14" s="67"/>
      <c r="E14" s="67"/>
      <c r="F14" s="67"/>
    </row>
    <row r="15" customFormat="false" ht="31.5" hidden="false" customHeight="true" outlineLevel="0" collapsed="false">
      <c r="A15" s="5" t="n">
        <v>12</v>
      </c>
      <c r="B15" s="6" t="s">
        <v>239</v>
      </c>
      <c r="C15" s="7" t="s">
        <v>240</v>
      </c>
      <c r="D15" s="15"/>
      <c r="E15" s="15"/>
      <c r="F15" s="15"/>
    </row>
    <row r="16" customFormat="false" ht="31.5" hidden="false" customHeight="true" outlineLevel="0" collapsed="false">
      <c r="A16" s="64" t="n">
        <v>13</v>
      </c>
      <c r="B16" s="65" t="s">
        <v>241</v>
      </c>
      <c r="C16" s="66" t="s">
        <v>242</v>
      </c>
      <c r="D16" s="67"/>
      <c r="E16" s="67"/>
      <c r="F16" s="67"/>
    </row>
    <row r="17" customFormat="false" ht="31.5" hidden="false" customHeight="true" outlineLevel="0" collapsed="false">
      <c r="A17" s="5" t="n">
        <v>14</v>
      </c>
      <c r="B17" s="6" t="s">
        <v>243</v>
      </c>
      <c r="C17" s="7" t="s">
        <v>244</v>
      </c>
      <c r="D17" s="15"/>
      <c r="E17" s="15"/>
      <c r="F17" s="15"/>
    </row>
    <row r="18" customFormat="false" ht="31.5" hidden="false" customHeight="true" outlineLevel="0" collapsed="false">
      <c r="A18" s="64" t="n">
        <v>15</v>
      </c>
      <c r="B18" s="65" t="s">
        <v>245</v>
      </c>
      <c r="C18" s="66" t="s">
        <v>246</v>
      </c>
      <c r="D18" s="67"/>
      <c r="E18" s="67"/>
      <c r="F18" s="67"/>
    </row>
    <row r="19" customFormat="false" ht="31.5" hidden="false" customHeight="true" outlineLevel="0" collapsed="false">
      <c r="A19" s="5" t="n">
        <v>16</v>
      </c>
      <c r="B19" s="6" t="s">
        <v>247</v>
      </c>
      <c r="C19" s="7" t="s">
        <v>248</v>
      </c>
      <c r="D19" s="15"/>
      <c r="E19" s="15"/>
      <c r="F19" s="15"/>
    </row>
    <row r="20" customFormat="false" ht="31.5" hidden="false" customHeight="true" outlineLevel="0" collapsed="false">
      <c r="A20" s="64" t="n">
        <v>17</v>
      </c>
      <c r="B20" s="65" t="s">
        <v>249</v>
      </c>
      <c r="C20" s="66" t="s">
        <v>250</v>
      </c>
      <c r="D20" s="67"/>
      <c r="E20" s="67"/>
      <c r="F20" s="67"/>
    </row>
    <row r="21" customFormat="false" ht="31.5" hidden="false" customHeight="true" outlineLevel="0" collapsed="false">
      <c r="A21" s="5" t="n">
        <v>18</v>
      </c>
      <c r="B21" s="6" t="s">
        <v>251</v>
      </c>
      <c r="C21" s="7" t="s">
        <v>252</v>
      </c>
      <c r="D21" s="15"/>
      <c r="E21" s="15"/>
      <c r="F21" s="15"/>
    </row>
    <row r="22" customFormat="false" ht="31.5" hidden="false" customHeight="true" outlineLevel="0" collapsed="false">
      <c r="A22" s="64" t="n">
        <v>19</v>
      </c>
      <c r="B22" s="65" t="s">
        <v>253</v>
      </c>
      <c r="C22" s="66" t="s">
        <v>254</v>
      </c>
      <c r="D22" s="67"/>
      <c r="E22" s="67"/>
      <c r="F22" s="67"/>
    </row>
    <row r="23" customFormat="false" ht="31.5" hidden="false" customHeight="true" outlineLevel="0" collapsed="false">
      <c r="A23" s="5" t="n">
        <v>20</v>
      </c>
      <c r="B23" s="6" t="s">
        <v>255</v>
      </c>
      <c r="C23" s="7" t="s">
        <v>256</v>
      </c>
      <c r="D23" s="15"/>
      <c r="E23" s="15"/>
      <c r="F23" s="1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2026-06-01T09:07:17Z</dcterms:created>
  <dc:creator>openpyxl</dc:creator>
  <dc:description/>
  <dc:language>en-US</dc:language>
  <cp:lastModifiedBy/>
  <dcterms:modified xsi:type="dcterms:W3CDTF">2026-06-01T09:07:35Z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