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WCM Reference Guide" sheetId="1" state="visible" r:id="rId3"/>
    <sheet name="2. WCM Tracker" sheetId="2" state="visible" r:id="rId4"/>
    <sheet name="3. Dashboard Summary" sheetId="3" state="visible" r:id="rId5"/>
    <sheet name="4. Block-Wise Savings" sheetId="4" state="visible" r:id="rId6"/>
    <sheet name="5. YoY Trend" sheetId="5" state="visible" r:id="rId7"/>
    <sheet name="6. Audit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<sst xmlns="http://schemas.openxmlformats.org/spreadsheetml/2006/main" count="264" uniqueCount="233">
  <si>
    <t xml:space="preserve">Water Conservation Measures (WCM) — Reference Guide &amp; Specifications</t>
  </si>
  <si>
    <t xml:space="preserve">11 Core Measures | Description, Expected Savings, Implementation Notes | NAAC 7.1.4 Aligned</t>
  </si>
  <si>
    <t xml:space="preserve">WCM #</t>
  </si>
  <si>
    <t xml:space="preserve">Conservation Measure</t>
  </si>
  <si>
    <t xml:space="preserve">Description &amp; How It Works</t>
  </si>
  <si>
    <t xml:space="preserve">Expected Saving</t>
  </si>
  <si>
    <t xml:space="preserve">Applicable Locations</t>
  </si>
  <si>
    <t xml:space="preserve">Water Metering</t>
  </si>
  <si>
    <t xml:space="preserve">Installation of water flow meters in different blocks and facilities to measure actual consumption. Helps identify high-consumption areas and enables accurate audits to detect leakages. Install at main supply, each block, hostels, kitchen, and garden independently.</t>
  </si>
  <si>
    <t xml:space="preserve">Enables 10–15% reduction via awareness</t>
  </si>
  <si>
    <t xml:space="preserve">All blocks, hostels, kitchen, garden, STP</t>
  </si>
  <si>
    <t xml:space="preserve">Use of Aerators (Hostel / School / College)</t>
  </si>
  <si>
    <t xml:space="preserve">Aerators mix air with water, reducing flow rate without affecting performance. Screw-on devices fitted at tap outlets. Standard flow 12 L/min reduced to 6–8 L/min. Zero maintenance, ₹50–200 per unit.</t>
  </si>
  <si>
    <t xml:space="preserve">40–50% water saving per tap</t>
  </si>
  <si>
    <t xml:space="preserve">All washbasins, hostel bathrooms, labs, staff rooms</t>
  </si>
  <si>
    <t xml:space="preserve">Thermostats at Boilers</t>
  </si>
  <si>
    <t xml:space="preserve">Controls water heating efficiently, preventing overheating and unnecessary water loss during cooling cycles. Maintains optimal temperature (60–65°C) automatically. Prevents repeated heating-cooling-draining cycles.</t>
  </si>
  <si>
    <t xml:space="preserve">Saves water + 15–20% energy</t>
  </si>
  <si>
    <t xml:space="preserve">Hostel boilers, kitchen, laundry</t>
  </si>
  <si>
    <t xml:space="preserve">Low Flow Fixtures in Kitchen</t>
  </si>
  <si>
    <t xml:space="preserve">Low-flow taps, faucets, and pre-rinse sinks reduce water usage during cooking, food preparation, and cleaning. Flow rate limited to 4–6 L/min vs standard 10–15 L/min.</t>
  </si>
  <si>
    <t xml:space="preserve">30–40% kitchen water reduction</t>
  </si>
  <si>
    <t xml:space="preserve">Main kitchen, canteen, staff kitchen, hostel mess</t>
  </si>
  <si>
    <t xml:space="preserve">Pre-Rinse Spray Valves</t>
  </si>
  <si>
    <t xml:space="preserve">High-efficiency spray valves used in cafeterias and canteens for pre-rinsing dishes before machine wash. Rated at 4–6 L/min vs old valves at 12+ L/min. Quick payback period (2–3 months).</t>
  </si>
  <si>
    <t xml:space="preserve">Saves 150+ L/day per kitchen</t>
  </si>
  <si>
    <t xml:space="preserve">Canteen dishwash area, hostel mess, catering</t>
  </si>
  <si>
    <t xml:space="preserve">Use of Dishwasher</t>
  </si>
  <si>
    <t xml:space="preserve">Modern commercial dishwashers consume less water than manual washing. Uses 10–12 L per cycle vs 30–40 L manual. Also ensures hygiene standards. Energy-efficient models with heat recovery.</t>
  </si>
  <si>
    <t xml:space="preserve">60–70% less vs manual wash</t>
  </si>
  <si>
    <t xml:space="preserve">Main kitchen, canteen, hostel mess</t>
  </si>
  <si>
    <t xml:space="preserve">Grease &amp; Oil Interceptor in Kitchen</t>
  </si>
  <si>
    <t xml:space="preserve">Separates grease, fats, and oil from kitchen wastewater before it enters drainage/STP. Prevents blockages in plumbing, protects STP efficiency, and facilitates water reuse. Regular cleaning every 2 weeks required.</t>
  </si>
  <si>
    <t xml:space="preserve">Prevents blockage; enables STP reuse</t>
  </si>
  <si>
    <t xml:space="preserve">Kitchen drain, canteen outlet, hostel mess</t>
  </si>
  <si>
    <t xml:space="preserve">Regulator in Washing Machine</t>
  </si>
  <si>
    <t xml:space="preserve">Flow regulators and load sensors on washing machines adjust water intake based on load size and wash type. Prevents overfilling. Modern machines with water-level sensors consume 40–50 L vs 80+ L in older models.</t>
  </si>
  <si>
    <t xml:space="preserve">20–25% laundry water saving</t>
  </si>
  <si>
    <t xml:space="preserve">Hostel laundry, staff quarters, housekeeping</t>
  </si>
  <si>
    <t xml:space="preserve">Irrigation System (Drip / Sprinkler)</t>
  </si>
  <si>
    <t xml:space="preserve">Automated drip or sprinkler irrigation replaces manual hose watering. Drip delivers water directly to roots; sprinklers cover lawns. Timer-based scheduling (early morning / evening). Moisture sensors prevent over-watering.</t>
  </si>
  <si>
    <t xml:space="preserve">60–70% garden water saving</t>
  </si>
  <si>
    <t xml:space="preserve">Campus gardens, lawns, nursery, sports ground</t>
  </si>
  <si>
    <t xml:space="preserve">Installation of RO Plant (with Reject Reuse)</t>
  </si>
  <si>
    <t xml:space="preserve">Produces safe drinking water for students and staff. Reject water (60–70% of input) MUST be reused — for gardening, flushing, cleaning, or cooling towers. Without reject reuse, RO actually wastes water.</t>
  </si>
  <si>
    <t xml:space="preserve">Reject reuse saves 500–1000 L/day</t>
  </si>
  <si>
    <t xml:space="preserve">Drinking water stations; reject to garden/flush</t>
  </si>
  <si>
    <t xml:space="preserve">Leakage Prevention in Building Taps</t>
  </si>
  <si>
    <t xml:space="preserve">Regular inspection and maintenance of all taps, pipelines, valves, and tanks. A single dripping tap wastes 15–20 L/day. Monthly inspection rounds, immediate repair protocol, leak detection dye tests for underground pipes.</t>
  </si>
  <si>
    <t xml:space="preserve">Saves 100–500 L/day campus-wide</t>
  </si>
  <si>
    <t xml:space="preserve">All buildings, underground pipes, tank overflows</t>
  </si>
  <si>
    <t xml:space="preserve">Water Conservation Measures — Implementation Tracker &amp; Savings Calculator</t>
  </si>
  <si>
    <t xml:space="preserve">Auto-Calculated Savings | Enter Baseline &amp; Post-Implementation → Daily &amp; Monthly Savings Auto-Compute</t>
  </si>
  <si>
    <t xml:space="preserve">S.No.</t>
  </si>
  <si>
    <t xml:space="preserve">Description</t>
  </si>
  <si>
    <t xml:space="preserve">Location / Block</t>
  </si>
  <si>
    <t xml:space="preserve">Owner / Department</t>
  </si>
  <si>
    <t xml:space="preserve">Status (Planned / Ongoing / Completed)</t>
  </si>
  <si>
    <t xml:space="preserve">Install / Start Date</t>
  </si>
  <si>
    <t xml:space="preserve">Baseline Use (L/day)</t>
  </si>
  <si>
    <t xml:space="preserve">Post-Implementation Use (L/day)</t>
  </si>
  <si>
    <t xml:space="preserve">Saving (L/day) [AUTO]</t>
  </si>
  <si>
    <t xml:space="preserve">Saving (L/month) [AUTO]</t>
  </si>
  <si>
    <t xml:space="preserve">Saving (KL/year) [AUTO]</t>
  </si>
  <si>
    <t xml:space="preserve">Evidence Link (Photo/Bill/PO)</t>
  </si>
  <si>
    <t xml:space="preserve">Remarks</t>
  </si>
  <si>
    <t xml:space="preserve">Flow meters at blocks to measure consumption &amp; detect leakages</t>
  </si>
  <si>
    <t xml:space="preserve">Aerators (Hostel/School/College)</t>
  </si>
  <si>
    <t xml:space="preserve">Air-mixing devices at taps; 40–50% flow reduction</t>
  </si>
  <si>
    <t xml:space="preserve">Efficient temperature control; prevents water/energy waste</t>
  </si>
  <si>
    <t xml:space="preserve">Low-flow taps &amp; faucets; 30–40% kitchen water reduction</t>
  </si>
  <si>
    <t xml:space="preserve">High-efficiency dish pre-rinse; saves 150+ L/day</t>
  </si>
  <si>
    <t xml:space="preserve">Dishwasher</t>
  </si>
  <si>
    <t xml:space="preserve">10–12 L/cycle vs 30–40 L manual; 60–70% saving</t>
  </si>
  <si>
    <t xml:space="preserve">Grease &amp; Oil Interceptor</t>
  </si>
  <si>
    <t xml:space="preserve">Separates grease; protects STP; enables water reuse</t>
  </si>
  <si>
    <t xml:space="preserve">Load-based water regulation; 20–25% laundry saving</t>
  </si>
  <si>
    <t xml:space="preserve">Irrigation System (Drip/Sprinkler)</t>
  </si>
  <si>
    <t xml:space="preserve">Automated irrigation; 60–70% garden water saving</t>
  </si>
  <si>
    <t xml:space="preserve">RO Plant (with Reject Reuse)</t>
  </si>
  <si>
    <t xml:space="preserve">Safe drinking water; reject reused for garden/flush</t>
  </si>
  <si>
    <t xml:space="preserve">Leakage Prevention</t>
  </si>
  <si>
    <t xml:space="preserve">Regular inspection &amp; repair; saves 100–500 L/day</t>
  </si>
  <si>
    <t xml:space="preserve">[Add Custom WCM]</t>
  </si>
  <si>
    <t xml:space="preserve">GRAND TOTALS — All Water Conservation Measures</t>
  </si>
  <si>
    <t xml:space="preserve">TOTALS</t>
  </si>
  <si>
    <t xml:space="preserve">WCM Dashboard — Auto-Calculated Implementation Summary</t>
  </si>
  <si>
    <t xml:space="preserve">Real-time status counts, savings totals, and % progress from tracker data</t>
  </si>
  <si>
    <t xml:space="preserve">Metric</t>
  </si>
  <si>
    <t xml:space="preserve">Value</t>
  </si>
  <si>
    <t xml:space="preserve">Unit</t>
  </si>
  <si>
    <t xml:space="preserve">Formula</t>
  </si>
  <si>
    <t xml:space="preserve">Target</t>
  </si>
  <si>
    <t xml:space="preserve">Status</t>
  </si>
  <si>
    <t xml:space="preserve">Total Measures Listed</t>
  </si>
  <si>
    <t xml:space="preserve">Nos.</t>
  </si>
  <si>
    <t xml:space="preserve">Count of non-blank WCMs</t>
  </si>
  <si>
    <t xml:space="preserve">Completed Measures</t>
  </si>
  <si>
    <t xml:space="preserve">Status = Completed</t>
  </si>
  <si>
    <t xml:space="preserve">Ongoing Measures</t>
  </si>
  <si>
    <t xml:space="preserve">Status = Ongoing</t>
  </si>
  <si>
    <t xml:space="preserve">Planned Measures</t>
  </si>
  <si>
    <t xml:space="preserve">Status = Planned</t>
  </si>
  <si>
    <t xml:space="preserve">Not Started / Blank</t>
  </si>
  <si>
    <t xml:space="preserve">Remaining</t>
  </si>
  <si>
    <t xml:space="preserve">Implementation Rate (%)</t>
  </si>
  <si>
    <t xml:space="preserve">Percent</t>
  </si>
  <si>
    <t xml:space="preserve">(Completed+Ongoing)/Total</t>
  </si>
  <si>
    <t xml:space="preserve">Completion Rate (%)</t>
  </si>
  <si>
    <t xml:space="preserve">Completed/Total</t>
  </si>
  <si>
    <t xml:space="preserve">Total Baseline Consumption (L/day)</t>
  </si>
  <si>
    <t xml:space="preserve">L/day</t>
  </si>
  <si>
    <t xml:space="preserve">Sum of all baselines</t>
  </si>
  <si>
    <t xml:space="preserve">Total Post-Implementation (L/day)</t>
  </si>
  <si>
    <t xml:space="preserve">Sum of post-implementation</t>
  </si>
  <si>
    <t xml:space="preserve">TOTAL DAILY SAVING (L/day)</t>
  </si>
  <si>
    <t xml:space="preserve">Baseline − Post</t>
  </si>
  <si>
    <t xml:space="preserve">TOTAL MONTHLY SAVING (L/month)</t>
  </si>
  <si>
    <t xml:space="preserve">L/month</t>
  </si>
  <si>
    <t xml:space="preserve">Daily × 30</t>
  </si>
  <si>
    <t xml:space="preserve">TOTAL ANNUAL SAVING (KL/year)</t>
  </si>
  <si>
    <t xml:space="preserve">KL/year</t>
  </si>
  <si>
    <t xml:space="preserve">Daily × 365 / 1000</t>
  </si>
  <si>
    <t xml:space="preserve">% Water Saved (of Baseline)</t>
  </si>
  <si>
    <t xml:space="preserve">Saving / Baseline × 100</t>
  </si>
  <si>
    <t xml:space="preserve">Estimated Annual Cost Saving (₹)</t>
  </si>
  <si>
    <t xml:space="preserve">₹/year</t>
  </si>
  <si>
    <t xml:space="preserve">@ ₹5 per KL (municipal rate)</t>
  </si>
  <si>
    <t xml:space="preserve">Savings by Implementation Status</t>
  </si>
  <si>
    <t xml:space="preserve">Count</t>
  </si>
  <si>
    <t xml:space="preserve">Daily Saving (L)</t>
  </si>
  <si>
    <t xml:space="preserve">Monthly Saving (L)</t>
  </si>
  <si>
    <t xml:space="preserve">Annual Saving (KL)</t>
  </si>
  <si>
    <t xml:space="preserve">% of Total Saving</t>
  </si>
  <si>
    <t xml:space="preserve">Completed</t>
  </si>
  <si>
    <t xml:space="preserve">Ongoing</t>
  </si>
  <si>
    <t xml:space="preserve">Planned</t>
  </si>
  <si>
    <t xml:space="preserve">Water Savings by Location / Block — Where Is Most Water Being Saved?</t>
  </si>
  <si>
    <t xml:space="preserve">Aggregate savings per building/zone | Identifies highest-impact locations</t>
  </si>
  <si>
    <t xml:space="preserve">WCMs Implemented</t>
  </si>
  <si>
    <t xml:space="preserve">Baseline (L/day)</t>
  </si>
  <si>
    <t xml:space="preserve">Post-Impl (L/day)</t>
  </si>
  <si>
    <t xml:space="preserve">Saving (L/day)</t>
  </si>
  <si>
    <t xml:space="preserve">Saving (L/month)</t>
  </si>
  <si>
    <t xml:space="preserve">Saving (KL/year)</t>
  </si>
  <si>
    <t xml:space="preserve">Academic Block 1</t>
  </si>
  <si>
    <t xml:space="preserve">Academic Block 2</t>
  </si>
  <si>
    <t xml:space="preserve">Academic Block 3</t>
  </si>
  <si>
    <t xml:space="preserve">Science Lab Complex</t>
  </si>
  <si>
    <t xml:space="preserve">Hostel Block A (Boys)</t>
  </si>
  <si>
    <t xml:space="preserve">Hostel Block B (Boys)</t>
  </si>
  <si>
    <t xml:space="preserve">Hostel Block C (Girls)</t>
  </si>
  <si>
    <t xml:space="preserve">Hostel Block D (Girls)</t>
  </si>
  <si>
    <t xml:space="preserve">Main Kitchen / Canteen</t>
  </si>
  <si>
    <t xml:space="preserve">Staff Kitchen</t>
  </si>
  <si>
    <t xml:space="preserve">Hostel Mess</t>
  </si>
  <si>
    <t xml:space="preserve">Administrative Block</t>
  </si>
  <si>
    <t xml:space="preserve">Sports Complex</t>
  </si>
  <si>
    <t xml:space="preserve">Garden / Landscaping</t>
  </si>
  <si>
    <t xml:space="preserve">Staff Quarters</t>
  </si>
  <si>
    <t xml:space="preserve">Laundry</t>
  </si>
  <si>
    <t xml:space="preserve">RO Plant Area</t>
  </si>
  <si>
    <t xml:space="preserve">Central Water Supply</t>
  </si>
  <si>
    <t xml:space="preserve">Other</t>
  </si>
  <si>
    <t xml:space="preserve">CAMPUS TOTAL</t>
  </si>
  <si>
    <t xml:space="preserve">Water Conservation — 5-Year Implementation &amp; Savings Trend</t>
  </si>
  <si>
    <t xml:space="preserve">Track cumulative conservation progress for NAAC / Green Audit</t>
  </si>
  <si>
    <t xml:space="preserve">Parameter</t>
  </si>
  <si>
    <t xml:space="preserve">Year 1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</si>
  <si>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</si>
  <si>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</si>
  <si>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</si>
  <si>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</si>
  <si>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Change</t>
  </si>
  <si>
    <t xml:space="preserve">Trend</t>
  </si>
  <si>
    <t xml:space="preserve">WCMs Implemented (count)</t>
  </si>
  <si>
    <t xml:space="preserve">Total Daily Saving (L/day)</t>
  </si>
  <si>
    <t xml:space="preserve">Total Monthly Saving (L/month)</t>
  </si>
  <si>
    <t xml:space="preserve">Total Annual Saving (KL/year)</t>
  </si>
  <si>
    <t xml:space="preserve">% Water Saved (of baseline)</t>
  </si>
  <si>
    <t xml:space="preserve">Campus Water Consumption (KL/yr)</t>
  </si>
  <si>
    <t xml:space="preserve">Per Capita Consumption (L/day)</t>
  </si>
  <si>
    <t xml:space="preserve">Rainwater Harvested (KL/yr)</t>
  </si>
  <si>
    <t xml:space="preserve">Water Recycled via STP (KL/yr)</t>
  </si>
  <si>
    <t xml:space="preserve">Annual Water Cost (₹)</t>
  </si>
  <si>
    <t xml:space="preserve">Water Conservation — Audit &amp; Compliance Checklist (NAAC 7.1.4 / Green Audit)</t>
  </si>
  <si>
    <t xml:space="preserve">Evidence readiness for accreditation and sustainability reporting</t>
  </si>
  <si>
    <t xml:space="preserve">#</t>
  </si>
  <si>
    <t xml:space="preserve">Audit Item</t>
  </si>
  <si>
    <t xml:space="preserve">Requirement / Description</t>
  </si>
  <si>
    <t xml:space="preserve">Status (✓/✗/IP)</t>
  </si>
  <si>
    <t xml:space="preserve">Date</t>
  </si>
  <si>
    <t xml:space="preserve">Reviewer</t>
  </si>
  <si>
    <t xml:space="preserve">All 11 core WCMs assessed</t>
  </si>
  <si>
    <t xml:space="preserve">Each WCM documented with status (Planned/Ongoing/Completed)</t>
  </si>
  <si>
    <t xml:space="preserve">Baseline consumption recorded</t>
  </si>
  <si>
    <t xml:space="preserve">Pre-implementation water usage (L/day) recorded for each WCM location</t>
  </si>
  <si>
    <t xml:space="preserve">Post-implementation recorded</t>
  </si>
  <si>
    <t xml:space="preserve">Actual usage after WCM implementation entered for savings calculation</t>
  </si>
  <si>
    <t xml:space="preserve">Savings auto-calculated correctly</t>
  </si>
  <si>
    <t xml:space="preserve">Daily = Baseline − Post; Monthly = Daily × 30; Annual = Daily × 365 / 1000</t>
  </si>
  <si>
    <t xml:space="preserve">Location / block assigned</t>
  </si>
  <si>
    <t xml:space="preserve">Every WCM linked to a specific campus location</t>
  </si>
  <si>
    <t xml:space="preserve">Owner / department assigned</t>
  </si>
  <si>
    <t xml:space="preserve">Responsible department/person identified for each WCM</t>
  </si>
  <si>
    <t xml:space="preserve">Evidence documented</t>
  </si>
  <si>
    <t xml:space="preserve">Photos, purchase orders, bills, installation certificates linked per WCM</t>
  </si>
  <si>
    <t xml:space="preserve">Water meters installed and reading</t>
  </si>
  <si>
    <t xml:space="preserve">Meter readings available for high-consumption areas</t>
  </si>
  <si>
    <t xml:space="preserve">Aerators installed (count documented)</t>
  </si>
  <si>
    <t xml:space="preserve">Number of aerators installed with locations; savings verified</t>
  </si>
  <si>
    <t xml:space="preserve">Kitchen measures implemented</t>
  </si>
  <si>
    <t xml:space="preserve">Low-flow fixtures, spray valves, dishwasher, interceptor status documented</t>
  </si>
  <si>
    <t xml:space="preserve">Irrigation system documented</t>
  </si>
  <si>
    <t xml:space="preserve">Drip/sprinkler type, coverage area, timer settings, savings documented</t>
  </si>
  <si>
    <t xml:space="preserve">RO reject reuse documented</t>
  </si>
  <si>
    <t xml:space="preserve">Reject water quantity and reuse method (garden/flush/cleaning) documented</t>
  </si>
  <si>
    <t xml:space="preserve">Leakage prevention log</t>
  </si>
  <si>
    <t xml:space="preserve">Inspection dates, leaks found, repairs done, water saved documented</t>
  </si>
  <si>
    <t xml:space="preserve">Block-wise savings computed</t>
  </si>
  <si>
    <t xml:space="preserve">Savings aggregated per building/block for zone analysis</t>
  </si>
  <si>
    <t xml:space="preserve">Dashboard summary accurate</t>
  </si>
  <si>
    <t xml:space="preserve">Total counts, savings, % progress match tracker data</t>
  </si>
  <si>
    <t xml:space="preserve">5-year trend documented</t>
  </si>
  <si>
    <t xml:space="preserve">Conservation progress tracked over 5 years for NAAC/Green Audit</t>
  </si>
  <si>
    <t xml:space="preserve">NAAC 7.1.4 evidence ready</t>
  </si>
  <si>
    <t xml:space="preserve">Complete documentation package for water conservation facilities</t>
  </si>
  <si>
    <t xml:space="preserve">Green Audit alignment</t>
  </si>
  <si>
    <t xml:space="preserve">Data consistent with institutional Green Audit / Environment Audit</t>
  </si>
  <si>
    <t xml:space="preserve">Cost saving computed</t>
  </si>
  <si>
    <t xml:space="preserve">Annual water cost saving estimated and documented</t>
  </si>
  <si>
    <t xml:space="preserve">Reproducibility verified</t>
  </si>
  <si>
    <t xml:space="preserve">All savings reproducible from baseline vs post-implementation 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</si>
</sst>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2"/>
      <color rgb="FF1A2E4F"/>
      <name val="Arial"/>
      <family val="0"/>
      <charset val="1"/>
    </font>
    <font>
      <b val="true"/>
      <sz val="11"/>
      <color rgb="FF1565C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E3F2F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  <fill>
      <patternFill patternType="solid">
        <fgColor rgb="FFF2F2F2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79.5" hidden="false" customHeight="true" outlineLevel="0" collapsed="false">
      <c r="A4" s="4" t="n">
        <v>1</v>
      </c>
      <c r="B4" s="5" t="s">
        <v>7</v>
      </c>
      <c r="C4" s="6" t="s">
        <v>8</v>
      </c>
      <c r="D4" s="4" t="s">
        <v>9</v>
      </c>
      <c r="E4" s="6" t="s">
        <v>10</v>
      </c>
    </row>
    <row r="5" customFormat="false" ht="79.5" hidden="false" customHeight="true" outlineLevel="0" collapsed="false">
      <c r="A5" s="7" t="n">
        <v>2</v>
      </c>
      <c r="B5" s="8" t="s">
        <v>11</v>
      </c>
      <c r="C5" s="9" t="s">
        <v>12</v>
      </c>
      <c r="D5" s="7" t="s">
        <v>13</v>
      </c>
      <c r="E5" s="9" t="s">
        <v>14</v>
      </c>
    </row>
    <row r="6" customFormat="false" ht="79.5" hidden="false" customHeight="true" outlineLevel="0" collapsed="false">
      <c r="A6" s="4" t="n">
        <v>3</v>
      </c>
      <c r="B6" s="5" t="s">
        <v>15</v>
      </c>
      <c r="C6" s="6" t="s">
        <v>16</v>
      </c>
      <c r="D6" s="4" t="s">
        <v>17</v>
      </c>
      <c r="E6" s="6" t="s">
        <v>18</v>
      </c>
    </row>
    <row r="7" customFormat="false" ht="79.5" hidden="false" customHeight="true" outlineLevel="0" collapsed="false">
      <c r="A7" s="7" t="n">
        <v>4</v>
      </c>
      <c r="B7" s="8" t="s">
        <v>19</v>
      </c>
      <c r="C7" s="9" t="s">
        <v>20</v>
      </c>
      <c r="D7" s="7" t="s">
        <v>21</v>
      </c>
      <c r="E7" s="9" t="s">
        <v>22</v>
      </c>
    </row>
    <row r="8" customFormat="false" ht="79.5" hidden="false" customHeight="true" outlineLevel="0" collapsed="false">
      <c r="A8" s="4" t="n">
        <v>5</v>
      </c>
      <c r="B8" s="5" t="s">
        <v>23</v>
      </c>
      <c r="C8" s="6" t="s">
        <v>24</v>
      </c>
      <c r="D8" s="4" t="s">
        <v>25</v>
      </c>
      <c r="E8" s="6" t="s">
        <v>26</v>
      </c>
    </row>
    <row r="9" customFormat="false" ht="79.5" hidden="false" customHeight="true" outlineLevel="0" collapsed="false">
      <c r="A9" s="7" t="n">
        <v>6</v>
      </c>
      <c r="B9" s="8" t="s">
        <v>27</v>
      </c>
      <c r="C9" s="9" t="s">
        <v>28</v>
      </c>
      <c r="D9" s="7" t="s">
        <v>29</v>
      </c>
      <c r="E9" s="9" t="s">
        <v>30</v>
      </c>
    </row>
    <row r="10" customFormat="false" ht="79.5" hidden="false" customHeight="true" outlineLevel="0" collapsed="false">
      <c r="A10" s="4" t="n">
        <v>7</v>
      </c>
      <c r="B10" s="5" t="s">
        <v>31</v>
      </c>
      <c r="C10" s="6" t="s">
        <v>32</v>
      </c>
      <c r="D10" s="4" t="s">
        <v>33</v>
      </c>
      <c r="E10" s="6" t="s">
        <v>34</v>
      </c>
    </row>
    <row r="11" customFormat="false" ht="79.5" hidden="false" customHeight="true" outlineLevel="0" collapsed="false">
      <c r="A11" s="7" t="n">
        <v>8</v>
      </c>
      <c r="B11" s="8" t="s">
        <v>35</v>
      </c>
      <c r="C11" s="9" t="s">
        <v>36</v>
      </c>
      <c r="D11" s="7" t="s">
        <v>37</v>
      </c>
      <c r="E11" s="9" t="s">
        <v>38</v>
      </c>
    </row>
    <row r="12" customFormat="false" ht="79.5" hidden="false" customHeight="true" outlineLevel="0" collapsed="false">
      <c r="A12" s="4" t="n">
        <v>9</v>
      </c>
      <c r="B12" s="5" t="s">
        <v>39</v>
      </c>
      <c r="C12" s="6" t="s">
        <v>40</v>
      </c>
      <c r="D12" s="4" t="s">
        <v>41</v>
      </c>
      <c r="E12" s="6" t="s">
        <v>42</v>
      </c>
    </row>
    <row r="13" customFormat="false" ht="79.5" hidden="false" customHeight="true" outlineLevel="0" collapsed="false">
      <c r="A13" s="7" t="n">
        <v>10</v>
      </c>
      <c r="B13" s="8" t="s">
        <v>43</v>
      </c>
      <c r="C13" s="9" t="s">
        <v>44</v>
      </c>
      <c r="D13" s="7" t="s">
        <v>45</v>
      </c>
      <c r="E13" s="9" t="s">
        <v>46</v>
      </c>
    </row>
    <row r="14" customFormat="false" ht="79.5" hidden="false" customHeight="true" outlineLevel="0" collapsed="false">
      <c r="A14" s="4" t="n">
        <v>11</v>
      </c>
      <c r="B14" s="5" t="s">
        <v>47</v>
      </c>
      <c r="C14" s="6" t="s">
        <v>48</v>
      </c>
      <c r="D14" s="4" t="s">
        <v>49</v>
      </c>
      <c r="E14" s="6" t="s">
        <v>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7" min="5" style="0" width="22"/>
    <col collapsed="false" customWidth="true" hidden="false" outlineLevel="0" max="10" min="8" style="0" width="18"/>
    <col collapsed="false" customWidth="true" hidden="false" outlineLevel="0" max="12" min="11" style="0" width="20"/>
    <col collapsed="false" customWidth="true" hidden="false" outlineLevel="0" max="14" min="13" style="0" width="22"/>
    <col collapsed="false" customWidth="true" hidden="false" outlineLevel="0" max="15" min="15" style="0" width="14"/>
  </cols>
  <sheetData>
    <row r="1" customFormat="false" ht="33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.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5.05" hidden="false" customHeight="false" outlineLevel="0" collapsed="false">
      <c r="A3" s="3" t="s">
        <v>53</v>
      </c>
      <c r="B3" s="3" t="s">
        <v>2</v>
      </c>
      <c r="C3" s="3" t="s">
        <v>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</row>
    <row r="4" customFormat="false" ht="39.75" hidden="false" customHeight="true" outlineLevel="0" collapsed="false">
      <c r="A4" s="10" t="n">
        <v>1</v>
      </c>
      <c r="B4" s="4" t="n">
        <v>1</v>
      </c>
      <c r="C4" s="11" t="s">
        <v>7</v>
      </c>
      <c r="D4" s="10" t="s">
        <v>66</v>
      </c>
      <c r="E4" s="12"/>
      <c r="F4" s="12"/>
      <c r="G4" s="12"/>
      <c r="H4" s="12"/>
      <c r="I4" s="13"/>
      <c r="J4" s="13"/>
      <c r="K4" s="14" t="n">
        <f aca="false">IF(AND(I4&gt;0,J4&gt;=0),I4-J4,0)</f>
        <v>0</v>
      </c>
      <c r="L4" s="14" t="n">
        <f aca="false">K4*30</f>
        <v>0</v>
      </c>
      <c r="M4" s="15" t="n">
        <f aca="false">K4*365/1000</f>
        <v>0</v>
      </c>
      <c r="N4" s="12"/>
      <c r="O4" s="12"/>
    </row>
    <row r="5" customFormat="false" ht="39.75" hidden="false" customHeight="true" outlineLevel="0" collapsed="false">
      <c r="A5" s="16" t="n">
        <v>2</v>
      </c>
      <c r="B5" s="7" t="n">
        <v>2</v>
      </c>
      <c r="C5" s="17" t="s">
        <v>67</v>
      </c>
      <c r="D5" s="16" t="s">
        <v>68</v>
      </c>
      <c r="E5" s="18"/>
      <c r="F5" s="18"/>
      <c r="G5" s="18"/>
      <c r="H5" s="18"/>
      <c r="I5" s="19"/>
      <c r="J5" s="19"/>
      <c r="K5" s="20" t="n">
        <f aca="false">IF(AND(I5&gt;0,J5&gt;=0),I5-J5,0)</f>
        <v>0</v>
      </c>
      <c r="L5" s="20" t="n">
        <f aca="false">K5*30</f>
        <v>0</v>
      </c>
      <c r="M5" s="21" t="n">
        <f aca="false">K5*365/1000</f>
        <v>0</v>
      </c>
      <c r="N5" s="18"/>
      <c r="O5" s="18"/>
    </row>
    <row r="6" customFormat="false" ht="39.75" hidden="false" customHeight="true" outlineLevel="0" collapsed="false">
      <c r="A6" s="10" t="n">
        <v>3</v>
      </c>
      <c r="B6" s="4" t="n">
        <v>3</v>
      </c>
      <c r="C6" s="11" t="s">
        <v>15</v>
      </c>
      <c r="D6" s="10" t="s">
        <v>69</v>
      </c>
      <c r="E6" s="12"/>
      <c r="F6" s="12"/>
      <c r="G6" s="12"/>
      <c r="H6" s="12"/>
      <c r="I6" s="13"/>
      <c r="J6" s="13"/>
      <c r="K6" s="14" t="n">
        <f aca="false">IF(AND(I6&gt;0,J6&gt;=0),I6-J6,0)</f>
        <v>0</v>
      </c>
      <c r="L6" s="14" t="n">
        <f aca="false">K6*30</f>
        <v>0</v>
      </c>
      <c r="M6" s="15" t="n">
        <f aca="false">K6*365/1000</f>
        <v>0</v>
      </c>
      <c r="N6" s="12"/>
      <c r="O6" s="12"/>
    </row>
    <row r="7" customFormat="false" ht="39.75" hidden="false" customHeight="true" outlineLevel="0" collapsed="false">
      <c r="A7" s="16" t="n">
        <v>4</v>
      </c>
      <c r="B7" s="7" t="n">
        <v>4</v>
      </c>
      <c r="C7" s="17" t="s">
        <v>19</v>
      </c>
      <c r="D7" s="16" t="s">
        <v>70</v>
      </c>
      <c r="E7" s="18"/>
      <c r="F7" s="18"/>
      <c r="G7" s="18"/>
      <c r="H7" s="18"/>
      <c r="I7" s="19"/>
      <c r="J7" s="19"/>
      <c r="K7" s="20" t="n">
        <f aca="false">IF(AND(I7&gt;0,J7&gt;=0),I7-J7,0)</f>
        <v>0</v>
      </c>
      <c r="L7" s="20" t="n">
        <f aca="false">K7*30</f>
        <v>0</v>
      </c>
      <c r="M7" s="21" t="n">
        <f aca="false">K7*365/1000</f>
        <v>0</v>
      </c>
      <c r="N7" s="18"/>
      <c r="O7" s="18"/>
    </row>
    <row r="8" customFormat="false" ht="39.75" hidden="false" customHeight="true" outlineLevel="0" collapsed="false">
      <c r="A8" s="10" t="n">
        <v>5</v>
      </c>
      <c r="B8" s="4" t="n">
        <v>5</v>
      </c>
      <c r="C8" s="11" t="s">
        <v>23</v>
      </c>
      <c r="D8" s="10" t="s">
        <v>71</v>
      </c>
      <c r="E8" s="12"/>
      <c r="F8" s="12"/>
      <c r="G8" s="12"/>
      <c r="H8" s="12"/>
      <c r="I8" s="13"/>
      <c r="J8" s="13"/>
      <c r="K8" s="14" t="n">
        <f aca="false">IF(AND(I8&gt;0,J8&gt;=0),I8-J8,0)</f>
        <v>0</v>
      </c>
      <c r="L8" s="14" t="n">
        <f aca="false">K8*30</f>
        <v>0</v>
      </c>
      <c r="M8" s="15" t="n">
        <f aca="false">K8*365/1000</f>
        <v>0</v>
      </c>
      <c r="N8" s="12"/>
      <c r="O8" s="12"/>
    </row>
    <row r="9" customFormat="false" ht="39.75" hidden="false" customHeight="true" outlineLevel="0" collapsed="false">
      <c r="A9" s="16" t="n">
        <v>6</v>
      </c>
      <c r="B9" s="7" t="n">
        <v>6</v>
      </c>
      <c r="C9" s="17" t="s">
        <v>72</v>
      </c>
      <c r="D9" s="16" t="s">
        <v>73</v>
      </c>
      <c r="E9" s="18"/>
      <c r="F9" s="18"/>
      <c r="G9" s="18"/>
      <c r="H9" s="18"/>
      <c r="I9" s="19"/>
      <c r="J9" s="19"/>
      <c r="K9" s="20" t="n">
        <f aca="false">IF(AND(I9&gt;0,J9&gt;=0),I9-J9,0)</f>
        <v>0</v>
      </c>
      <c r="L9" s="20" t="n">
        <f aca="false">K9*30</f>
        <v>0</v>
      </c>
      <c r="M9" s="21" t="n">
        <f aca="false">K9*365/1000</f>
        <v>0</v>
      </c>
      <c r="N9" s="18"/>
      <c r="O9" s="18"/>
    </row>
    <row r="10" customFormat="false" ht="39.75" hidden="false" customHeight="true" outlineLevel="0" collapsed="false">
      <c r="A10" s="10" t="n">
        <v>7</v>
      </c>
      <c r="B10" s="4" t="n">
        <v>7</v>
      </c>
      <c r="C10" s="11" t="s">
        <v>74</v>
      </c>
      <c r="D10" s="10" t="s">
        <v>75</v>
      </c>
      <c r="E10" s="12"/>
      <c r="F10" s="12"/>
      <c r="G10" s="12"/>
      <c r="H10" s="12"/>
      <c r="I10" s="13"/>
      <c r="J10" s="13"/>
      <c r="K10" s="14" t="n">
        <f aca="false">IF(AND(I10&gt;0,J10&gt;=0),I10-J10,0)</f>
        <v>0</v>
      </c>
      <c r="L10" s="14" t="n">
        <f aca="false">K10*30</f>
        <v>0</v>
      </c>
      <c r="M10" s="15" t="n">
        <f aca="false">K10*365/1000</f>
        <v>0</v>
      </c>
      <c r="N10" s="12"/>
      <c r="O10" s="12"/>
    </row>
    <row r="11" customFormat="false" ht="39.75" hidden="false" customHeight="true" outlineLevel="0" collapsed="false">
      <c r="A11" s="16" t="n">
        <v>8</v>
      </c>
      <c r="B11" s="7" t="n">
        <v>8</v>
      </c>
      <c r="C11" s="17" t="s">
        <v>35</v>
      </c>
      <c r="D11" s="16" t="s">
        <v>76</v>
      </c>
      <c r="E11" s="18"/>
      <c r="F11" s="18"/>
      <c r="G11" s="18"/>
      <c r="H11" s="18"/>
      <c r="I11" s="19"/>
      <c r="J11" s="19"/>
      <c r="K11" s="20" t="n">
        <f aca="false">IF(AND(I11&gt;0,J11&gt;=0),I11-J11,0)</f>
        <v>0</v>
      </c>
      <c r="L11" s="20" t="n">
        <f aca="false">K11*30</f>
        <v>0</v>
      </c>
      <c r="M11" s="21" t="n">
        <f aca="false">K11*365/1000</f>
        <v>0</v>
      </c>
      <c r="N11" s="18"/>
      <c r="O11" s="18"/>
    </row>
    <row r="12" customFormat="false" ht="39.75" hidden="false" customHeight="true" outlineLevel="0" collapsed="false">
      <c r="A12" s="10" t="n">
        <v>9</v>
      </c>
      <c r="B12" s="4" t="n">
        <v>9</v>
      </c>
      <c r="C12" s="11" t="s">
        <v>77</v>
      </c>
      <c r="D12" s="10" t="s">
        <v>78</v>
      </c>
      <c r="E12" s="12"/>
      <c r="F12" s="12"/>
      <c r="G12" s="12"/>
      <c r="H12" s="12"/>
      <c r="I12" s="13"/>
      <c r="J12" s="13"/>
      <c r="K12" s="14" t="n">
        <f aca="false">IF(AND(I12&gt;0,J12&gt;=0),I12-J12,0)</f>
        <v>0</v>
      </c>
      <c r="L12" s="14" t="n">
        <f aca="false">K12*30</f>
        <v>0</v>
      </c>
      <c r="M12" s="15" t="n">
        <f aca="false">K12*365/1000</f>
        <v>0</v>
      </c>
      <c r="N12" s="12"/>
      <c r="O12" s="12"/>
    </row>
    <row r="13" customFormat="false" ht="39.75" hidden="false" customHeight="true" outlineLevel="0" collapsed="false">
      <c r="A13" s="16" t="n">
        <v>10</v>
      </c>
      <c r="B13" s="7" t="n">
        <v>10</v>
      </c>
      <c r="C13" s="17" t="s">
        <v>79</v>
      </c>
      <c r="D13" s="16" t="s">
        <v>80</v>
      </c>
      <c r="E13" s="18"/>
      <c r="F13" s="18"/>
      <c r="G13" s="18"/>
      <c r="H13" s="18"/>
      <c r="I13" s="19"/>
      <c r="J13" s="19"/>
      <c r="K13" s="20" t="n">
        <f aca="false">IF(AND(I13&gt;0,J13&gt;=0),I13-J13,0)</f>
        <v>0</v>
      </c>
      <c r="L13" s="20" t="n">
        <f aca="false">K13*30</f>
        <v>0</v>
      </c>
      <c r="M13" s="21" t="n">
        <f aca="false">K13*365/1000</f>
        <v>0</v>
      </c>
      <c r="N13" s="18"/>
      <c r="O13" s="18"/>
    </row>
    <row r="14" customFormat="false" ht="39.75" hidden="false" customHeight="true" outlineLevel="0" collapsed="false">
      <c r="A14" s="10" t="n">
        <v>11</v>
      </c>
      <c r="B14" s="4" t="n">
        <v>11</v>
      </c>
      <c r="C14" s="11" t="s">
        <v>81</v>
      </c>
      <c r="D14" s="10" t="s">
        <v>82</v>
      </c>
      <c r="E14" s="12"/>
      <c r="F14" s="12"/>
      <c r="G14" s="12"/>
      <c r="H14" s="12"/>
      <c r="I14" s="13"/>
      <c r="J14" s="13"/>
      <c r="K14" s="14" t="n">
        <f aca="false">IF(AND(I14&gt;0,J14&gt;=0),I14-J14,0)</f>
        <v>0</v>
      </c>
      <c r="L14" s="14" t="n">
        <f aca="false">K14*30</f>
        <v>0</v>
      </c>
      <c r="M14" s="15" t="n">
        <f aca="false">K14*365/1000</f>
        <v>0</v>
      </c>
      <c r="N14" s="12"/>
      <c r="O14" s="12"/>
    </row>
    <row r="15" customFormat="false" ht="39.75" hidden="false" customHeight="true" outlineLevel="0" collapsed="false">
      <c r="A15" s="16" t="n">
        <v>12</v>
      </c>
      <c r="B15" s="7" t="n">
        <v>12</v>
      </c>
      <c r="C15" s="17" t="s">
        <v>83</v>
      </c>
      <c r="D15" s="16"/>
      <c r="E15" s="18"/>
      <c r="F15" s="18"/>
      <c r="G15" s="18"/>
      <c r="H15" s="18"/>
      <c r="I15" s="19"/>
      <c r="J15" s="19"/>
      <c r="K15" s="20" t="n">
        <f aca="false">IF(AND(I15&gt;0,J15&gt;=0),I15-J15,0)</f>
        <v>0</v>
      </c>
      <c r="L15" s="20" t="n">
        <f aca="false">K15*30</f>
        <v>0</v>
      </c>
      <c r="M15" s="21" t="n">
        <f aca="false">K15*365/1000</f>
        <v>0</v>
      </c>
      <c r="N15" s="18"/>
      <c r="O15" s="18"/>
    </row>
    <row r="16" customFormat="false" ht="39.75" hidden="false" customHeight="true" outlineLevel="0" collapsed="false">
      <c r="A16" s="10" t="n">
        <v>13</v>
      </c>
      <c r="B16" s="4" t="n">
        <v>13</v>
      </c>
      <c r="C16" s="11" t="s">
        <v>83</v>
      </c>
      <c r="D16" s="10"/>
      <c r="E16" s="12"/>
      <c r="F16" s="12"/>
      <c r="G16" s="12"/>
      <c r="H16" s="12"/>
      <c r="I16" s="13"/>
      <c r="J16" s="13"/>
      <c r="K16" s="14" t="n">
        <f aca="false">IF(AND(I16&gt;0,J16&gt;=0),I16-J16,0)</f>
        <v>0</v>
      </c>
      <c r="L16" s="14" t="n">
        <f aca="false">K16*30</f>
        <v>0</v>
      </c>
      <c r="M16" s="15" t="n">
        <f aca="false">K16*365/1000</f>
        <v>0</v>
      </c>
      <c r="N16" s="12"/>
      <c r="O16" s="12"/>
    </row>
    <row r="17" customFormat="false" ht="39.75" hidden="false" customHeight="true" outlineLevel="0" collapsed="false">
      <c r="A17" s="16" t="n">
        <v>14</v>
      </c>
      <c r="B17" s="7" t="n">
        <v>14</v>
      </c>
      <c r="C17" s="17" t="s">
        <v>83</v>
      </c>
      <c r="D17" s="16"/>
      <c r="E17" s="18"/>
      <c r="F17" s="18"/>
      <c r="G17" s="18"/>
      <c r="H17" s="18"/>
      <c r="I17" s="19"/>
      <c r="J17" s="19"/>
      <c r="K17" s="20" t="n">
        <f aca="false">IF(AND(I17&gt;0,J17&gt;=0),I17-J17,0)</f>
        <v>0</v>
      </c>
      <c r="L17" s="20" t="n">
        <f aca="false">K17*30</f>
        <v>0</v>
      </c>
      <c r="M17" s="21" t="n">
        <f aca="false">K17*365/1000</f>
        <v>0</v>
      </c>
      <c r="N17" s="18"/>
      <c r="O17" s="18"/>
    </row>
    <row r="18" customFormat="false" ht="39.75" hidden="false" customHeight="true" outlineLevel="0" collapsed="false">
      <c r="A18" s="10" t="n">
        <v>15</v>
      </c>
      <c r="B18" s="4" t="n">
        <v>15</v>
      </c>
      <c r="C18" s="11" t="s">
        <v>83</v>
      </c>
      <c r="D18" s="10"/>
      <c r="E18" s="12"/>
      <c r="F18" s="12"/>
      <c r="G18" s="12"/>
      <c r="H18" s="12"/>
      <c r="I18" s="13"/>
      <c r="J18" s="13"/>
      <c r="K18" s="14" t="n">
        <f aca="false">IF(AND(I18&gt;0,J18&gt;=0),I18-J18,0)</f>
        <v>0</v>
      </c>
      <c r="L18" s="14" t="n">
        <f aca="false">K18*30</f>
        <v>0</v>
      </c>
      <c r="M18" s="15" t="n">
        <f aca="false">K18*365/1000</f>
        <v>0</v>
      </c>
      <c r="N18" s="12"/>
      <c r="O18" s="12"/>
    </row>
    <row r="19" customFormat="false" ht="39.75" hidden="false" customHeight="true" outlineLevel="0" collapsed="false">
      <c r="A19" s="16" t="n">
        <v>16</v>
      </c>
      <c r="B19" s="7" t="n">
        <v>16</v>
      </c>
      <c r="C19" s="17" t="s">
        <v>83</v>
      </c>
      <c r="D19" s="16"/>
      <c r="E19" s="18"/>
      <c r="F19" s="18"/>
      <c r="G19" s="18"/>
      <c r="H19" s="18"/>
      <c r="I19" s="19"/>
      <c r="J19" s="19"/>
      <c r="K19" s="20" t="n">
        <f aca="false">IF(AND(I19&gt;0,J19&gt;=0),I19-J19,0)</f>
        <v>0</v>
      </c>
      <c r="L19" s="20" t="n">
        <f aca="false">K19*30</f>
        <v>0</v>
      </c>
      <c r="M19" s="21" t="n">
        <f aca="false">K19*365/1000</f>
        <v>0</v>
      </c>
      <c r="N19" s="18"/>
      <c r="O19" s="18"/>
    </row>
    <row r="20" customFormat="false" ht="39.75" hidden="false" customHeight="true" outlineLevel="0" collapsed="false">
      <c r="A20" s="10" t="n">
        <v>17</v>
      </c>
      <c r="B20" s="4" t="n">
        <v>17</v>
      </c>
      <c r="C20" s="11" t="s">
        <v>83</v>
      </c>
      <c r="D20" s="10"/>
      <c r="E20" s="12"/>
      <c r="F20" s="12"/>
      <c r="G20" s="12"/>
      <c r="H20" s="12"/>
      <c r="I20" s="13"/>
      <c r="J20" s="13"/>
      <c r="K20" s="14" t="n">
        <f aca="false">IF(AND(I20&gt;0,J20&gt;=0),I20-J20,0)</f>
        <v>0</v>
      </c>
      <c r="L20" s="14" t="n">
        <f aca="false">K20*30</f>
        <v>0</v>
      </c>
      <c r="M20" s="15" t="n">
        <f aca="false">K20*365/1000</f>
        <v>0</v>
      </c>
      <c r="N20" s="12"/>
      <c r="O20" s="12"/>
    </row>
    <row r="21" customFormat="false" ht="39.75" hidden="false" customHeight="true" outlineLevel="0" collapsed="false">
      <c r="A21" s="16" t="n">
        <v>18</v>
      </c>
      <c r="B21" s="7" t="n">
        <v>18</v>
      </c>
      <c r="C21" s="17" t="s">
        <v>83</v>
      </c>
      <c r="D21" s="16"/>
      <c r="E21" s="18"/>
      <c r="F21" s="18"/>
      <c r="G21" s="18"/>
      <c r="H21" s="18"/>
      <c r="I21" s="19"/>
      <c r="J21" s="19"/>
      <c r="K21" s="20" t="n">
        <f aca="false">IF(AND(I21&gt;0,J21&gt;=0),I21-J21,0)</f>
        <v>0</v>
      </c>
      <c r="L21" s="20" t="n">
        <f aca="false">K21*30</f>
        <v>0</v>
      </c>
      <c r="M21" s="21" t="n">
        <f aca="false">K21*365/1000</f>
        <v>0</v>
      </c>
      <c r="N21" s="18"/>
      <c r="O21" s="18"/>
    </row>
    <row r="22" customFormat="false" ht="39.75" hidden="false" customHeight="true" outlineLevel="0" collapsed="false">
      <c r="A22" s="10" t="n">
        <v>19</v>
      </c>
      <c r="B22" s="4" t="n">
        <v>19</v>
      </c>
      <c r="C22" s="11" t="s">
        <v>83</v>
      </c>
      <c r="D22" s="10"/>
      <c r="E22" s="12"/>
      <c r="F22" s="12"/>
      <c r="G22" s="12"/>
      <c r="H22" s="12"/>
      <c r="I22" s="13"/>
      <c r="J22" s="13"/>
      <c r="K22" s="14" t="n">
        <f aca="false">IF(AND(I22&gt;0,J22&gt;=0),I22-J22,0)</f>
        <v>0</v>
      </c>
      <c r="L22" s="14" t="n">
        <f aca="false">K22*30</f>
        <v>0</v>
      </c>
      <c r="M22" s="15" t="n">
        <f aca="false">K22*365/1000</f>
        <v>0</v>
      </c>
      <c r="N22" s="12"/>
      <c r="O22" s="12"/>
    </row>
    <row r="23" customFormat="false" ht="39.75" hidden="false" customHeight="true" outlineLevel="0" collapsed="false">
      <c r="A23" s="16" t="n">
        <v>20</v>
      </c>
      <c r="B23" s="7" t="n">
        <v>20</v>
      </c>
      <c r="C23" s="17" t="s">
        <v>83</v>
      </c>
      <c r="D23" s="16"/>
      <c r="E23" s="18"/>
      <c r="F23" s="18"/>
      <c r="G23" s="18"/>
      <c r="H23" s="18"/>
      <c r="I23" s="19"/>
      <c r="J23" s="19"/>
      <c r="K23" s="20" t="n">
        <f aca="false">IF(AND(I23&gt;0,J23&gt;=0),I23-J23,0)</f>
        <v>0</v>
      </c>
      <c r="L23" s="20" t="n">
        <f aca="false">K23*30</f>
        <v>0</v>
      </c>
      <c r="M23" s="21" t="n">
        <f aca="false">K23*365/1000</f>
        <v>0</v>
      </c>
      <c r="N23" s="18"/>
      <c r="O23" s="18"/>
    </row>
    <row r="25" customFormat="false" ht="25.5" hidden="false" customHeight="true" outlineLevel="0" collapsed="false">
      <c r="A25" s="22" t="s">
        <v>84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customFormat="false" ht="15" hidden="false" customHeight="true" outlineLevel="0" collapsed="false">
      <c r="A26" s="23" t="s">
        <v>85</v>
      </c>
      <c r="B26" s="23"/>
      <c r="C26" s="23"/>
      <c r="D26" s="23"/>
      <c r="E26" s="23"/>
      <c r="F26" s="23"/>
      <c r="G26" s="23"/>
      <c r="H26" s="23"/>
      <c r="I26" s="24" t="n">
        <f aca="false">SUM(I4:I24)</f>
        <v>0</v>
      </c>
      <c r="J26" s="24" t="n">
        <f aca="false">SUM(J4:J24)</f>
        <v>0</v>
      </c>
      <c r="K26" s="25" t="n">
        <f aca="false">SUM(K4:K24)</f>
        <v>0</v>
      </c>
      <c r="L26" s="25" t="n">
        <f aca="false">SUM(L4:L24)</f>
        <v>0</v>
      </c>
      <c r="M26" s="26" t="n">
        <f aca="false">SUM(M4:M24)</f>
        <v>0</v>
      </c>
      <c r="N26" s="27"/>
      <c r="O26" s="27"/>
    </row>
  </sheetData>
  <mergeCells count="4">
    <mergeCell ref="A1:O1"/>
    <mergeCell ref="A2:O2"/>
    <mergeCell ref="A25:O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6" min="3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28" t="s">
        <v>86</v>
      </c>
      <c r="B1" s="28"/>
      <c r="C1" s="28"/>
      <c r="D1" s="28"/>
      <c r="E1" s="28"/>
      <c r="F1" s="28"/>
      <c r="G1" s="28"/>
    </row>
    <row r="2" customFormat="false" ht="25.5" hidden="false" customHeight="true" outlineLevel="0" collapsed="false">
      <c r="A2" s="29" t="s">
        <v>87</v>
      </c>
      <c r="B2" s="29"/>
      <c r="C2" s="29"/>
      <c r="D2" s="29"/>
      <c r="E2" s="29"/>
      <c r="F2" s="29"/>
      <c r="G2" s="29"/>
    </row>
    <row r="3" customFormat="false" ht="15" hidden="false" customHeight="false" outlineLevel="0" collapsed="false">
      <c r="A3" s="30" t="s">
        <v>53</v>
      </c>
      <c r="B3" s="30" t="s">
        <v>88</v>
      </c>
      <c r="C3" s="30" t="s">
        <v>89</v>
      </c>
      <c r="D3" s="30" t="s">
        <v>90</v>
      </c>
      <c r="E3" s="30" t="s">
        <v>91</v>
      </c>
      <c r="F3" s="30" t="s">
        <v>92</v>
      </c>
      <c r="G3" s="30" t="s">
        <v>93</v>
      </c>
    </row>
    <row r="4" customFormat="false" ht="27.75" hidden="false" customHeight="true" outlineLevel="0" collapsed="false">
      <c r="A4" s="10" t="n">
        <v>1</v>
      </c>
      <c r="B4" s="5" t="s">
        <v>94</v>
      </c>
      <c r="C4" s="31" t="n">
        <f aca="false">COUNTA('2. WCM Tracker'!C4:C24)-COUNTIF('2. WCM Tracker'!C4:C24,"[Add*")</f>
        <v>11</v>
      </c>
      <c r="D4" s="10" t="s">
        <v>95</v>
      </c>
      <c r="E4" s="6" t="s">
        <v>96</v>
      </c>
      <c r="F4" s="12"/>
      <c r="G4" s="12"/>
    </row>
    <row r="5" customFormat="false" ht="27.75" hidden="false" customHeight="true" outlineLevel="0" collapsed="false">
      <c r="A5" s="16" t="n">
        <v>2</v>
      </c>
      <c r="B5" s="8" t="s">
        <v>97</v>
      </c>
      <c r="C5" s="32" t="n">
        <f aca="false">COUNTIF('2. WCM Tracker'!G4:G24,"Completed")</f>
        <v>0</v>
      </c>
      <c r="D5" s="16" t="s">
        <v>95</v>
      </c>
      <c r="E5" s="9" t="s">
        <v>98</v>
      </c>
      <c r="F5" s="18"/>
      <c r="G5" s="18"/>
    </row>
    <row r="6" customFormat="false" ht="27.75" hidden="false" customHeight="true" outlineLevel="0" collapsed="false">
      <c r="A6" s="10" t="n">
        <v>3</v>
      </c>
      <c r="B6" s="5" t="s">
        <v>99</v>
      </c>
      <c r="C6" s="31" t="n">
        <f aca="false">COUNTIF('2. WCM Tracker'!G4:G24,"Ongoing")</f>
        <v>0</v>
      </c>
      <c r="D6" s="10" t="s">
        <v>95</v>
      </c>
      <c r="E6" s="6" t="s">
        <v>100</v>
      </c>
      <c r="F6" s="12"/>
      <c r="G6" s="12"/>
    </row>
    <row r="7" customFormat="false" ht="27.75" hidden="false" customHeight="true" outlineLevel="0" collapsed="false">
      <c r="A7" s="16" t="n">
        <v>4</v>
      </c>
      <c r="B7" s="8" t="s">
        <v>101</v>
      </c>
      <c r="C7" s="32" t="n">
        <f aca="false">COUNTIF('2. WCM Tracker'!G4:G24,"Planned")</f>
        <v>0</v>
      </c>
      <c r="D7" s="16" t="s">
        <v>95</v>
      </c>
      <c r="E7" s="9" t="s">
        <v>102</v>
      </c>
      <c r="F7" s="18"/>
      <c r="G7" s="18"/>
    </row>
    <row r="8" customFormat="false" ht="27.75" hidden="false" customHeight="true" outlineLevel="0" collapsed="false">
      <c r="A8" s="10" t="n">
        <v>5</v>
      </c>
      <c r="B8" s="5" t="s">
        <v>103</v>
      </c>
      <c r="C8" s="31" t="n">
        <f aca="false">C4-C5-C6-C7</f>
        <v>11</v>
      </c>
      <c r="D8" s="10" t="s">
        <v>95</v>
      </c>
      <c r="E8" s="6" t="s">
        <v>104</v>
      </c>
      <c r="F8" s="12"/>
      <c r="G8" s="12"/>
    </row>
    <row r="9" customFormat="false" ht="27.75" hidden="false" customHeight="true" outlineLevel="0" collapsed="false">
      <c r="A9" s="16" t="n">
        <v>6</v>
      </c>
      <c r="B9" s="8" t="s">
        <v>105</v>
      </c>
      <c r="C9" s="33" t="n">
        <f aca="false">IF(C4&gt;0,(C5+C6)/C4*100,0)</f>
        <v>0</v>
      </c>
      <c r="D9" s="16" t="s">
        <v>106</v>
      </c>
      <c r="E9" s="9" t="s">
        <v>107</v>
      </c>
      <c r="F9" s="18"/>
      <c r="G9" s="18"/>
    </row>
    <row r="10" customFormat="false" ht="27.75" hidden="false" customHeight="true" outlineLevel="0" collapsed="false">
      <c r="A10" s="10" t="n">
        <v>7</v>
      </c>
      <c r="B10" s="5" t="s">
        <v>108</v>
      </c>
      <c r="C10" s="34" t="n">
        <f aca="false">IF(C4&gt;0,C5/C4*100,0)</f>
        <v>0</v>
      </c>
      <c r="D10" s="10" t="s">
        <v>106</v>
      </c>
      <c r="E10" s="6" t="s">
        <v>109</v>
      </c>
      <c r="F10" s="12"/>
      <c r="G10" s="12"/>
    </row>
    <row r="11" customFormat="false" ht="27.75" hidden="false" customHeight="true" outlineLevel="0" collapsed="false">
      <c r="A11" s="16" t="n">
        <v>8</v>
      </c>
      <c r="B11" s="8" t="s">
        <v>110</v>
      </c>
      <c r="C11" s="35" t="n">
        <f aca="false">SUM('2. WCM Tracker'!I4:I24)</f>
        <v>0</v>
      </c>
      <c r="D11" s="16" t="s">
        <v>111</v>
      </c>
      <c r="E11" s="9" t="s">
        <v>112</v>
      </c>
      <c r="F11" s="18"/>
      <c r="G11" s="18"/>
    </row>
    <row r="12" customFormat="false" ht="27.75" hidden="false" customHeight="true" outlineLevel="0" collapsed="false">
      <c r="A12" s="10" t="n">
        <v>9</v>
      </c>
      <c r="B12" s="5" t="s">
        <v>113</v>
      </c>
      <c r="C12" s="36" t="n">
        <f aca="false">SUM('2. WCM Tracker'!J4:J24)</f>
        <v>0</v>
      </c>
      <c r="D12" s="10" t="s">
        <v>111</v>
      </c>
      <c r="E12" s="6" t="s">
        <v>114</v>
      </c>
      <c r="F12" s="12"/>
      <c r="G12" s="12"/>
    </row>
    <row r="13" customFormat="false" ht="27.75" hidden="false" customHeight="true" outlineLevel="0" collapsed="false">
      <c r="A13" s="37" t="n">
        <v>10</v>
      </c>
      <c r="B13" s="38" t="s">
        <v>115</v>
      </c>
      <c r="C13" s="39" t="n">
        <f aca="false">SUM('2. WCM Tracker'!K4:K24)</f>
        <v>0</v>
      </c>
      <c r="D13" s="37" t="s">
        <v>111</v>
      </c>
      <c r="E13" s="40" t="s">
        <v>116</v>
      </c>
      <c r="F13" s="41"/>
      <c r="G13" s="41"/>
    </row>
    <row r="14" customFormat="false" ht="27.75" hidden="false" customHeight="true" outlineLevel="0" collapsed="false">
      <c r="A14" s="37" t="n">
        <v>11</v>
      </c>
      <c r="B14" s="38" t="s">
        <v>117</v>
      </c>
      <c r="C14" s="39" t="n">
        <f aca="false">C13*30</f>
        <v>0</v>
      </c>
      <c r="D14" s="37" t="s">
        <v>118</v>
      </c>
      <c r="E14" s="40" t="s">
        <v>119</v>
      </c>
      <c r="F14" s="41"/>
      <c r="G14" s="41"/>
    </row>
    <row r="15" customFormat="false" ht="27.75" hidden="false" customHeight="true" outlineLevel="0" collapsed="false">
      <c r="A15" s="37" t="n">
        <v>12</v>
      </c>
      <c r="B15" s="38" t="s">
        <v>120</v>
      </c>
      <c r="C15" s="39" t="n">
        <f aca="false">C13*365/1000</f>
        <v>0</v>
      </c>
      <c r="D15" s="37" t="s">
        <v>121</v>
      </c>
      <c r="E15" s="40" t="s">
        <v>122</v>
      </c>
      <c r="F15" s="41"/>
      <c r="G15" s="41"/>
    </row>
    <row r="16" customFormat="false" ht="27.75" hidden="false" customHeight="true" outlineLevel="0" collapsed="false">
      <c r="A16" s="10" t="n">
        <v>13</v>
      </c>
      <c r="B16" s="5" t="s">
        <v>123</v>
      </c>
      <c r="C16" s="34" t="n">
        <f aca="false">IF(C11&gt;0,C13/C11*100,0)</f>
        <v>0</v>
      </c>
      <c r="D16" s="10" t="s">
        <v>106</v>
      </c>
      <c r="E16" s="6" t="s">
        <v>124</v>
      </c>
      <c r="F16" s="12"/>
      <c r="G16" s="12"/>
    </row>
    <row r="17" customFormat="false" ht="27.75" hidden="false" customHeight="true" outlineLevel="0" collapsed="false">
      <c r="A17" s="16" t="n">
        <v>14</v>
      </c>
      <c r="B17" s="8" t="s">
        <v>125</v>
      </c>
      <c r="C17" s="35" t="n">
        <f aca="false">C15*5</f>
        <v>0</v>
      </c>
      <c r="D17" s="16" t="s">
        <v>126</v>
      </c>
      <c r="E17" s="9" t="s">
        <v>127</v>
      </c>
      <c r="F17" s="18"/>
      <c r="G17" s="18"/>
    </row>
    <row r="20" customFormat="false" ht="25.5" hidden="false" customHeight="true" outlineLevel="0" collapsed="false">
      <c r="A20" s="2" t="s">
        <v>128</v>
      </c>
      <c r="B20" s="2"/>
      <c r="C20" s="2"/>
      <c r="D20" s="2"/>
      <c r="E20" s="2"/>
      <c r="F20" s="2"/>
      <c r="G20" s="2"/>
    </row>
    <row r="21" customFormat="false" ht="23.85" hidden="false" customHeight="false" outlineLevel="0" collapsed="false">
      <c r="A21" s="3" t="s">
        <v>53</v>
      </c>
      <c r="B21" s="3" t="s">
        <v>93</v>
      </c>
      <c r="C21" s="3" t="s">
        <v>129</v>
      </c>
      <c r="D21" s="3" t="s">
        <v>130</v>
      </c>
      <c r="E21" s="3" t="s">
        <v>131</v>
      </c>
      <c r="F21" s="3" t="s">
        <v>132</v>
      </c>
      <c r="G21" s="3" t="s">
        <v>133</v>
      </c>
    </row>
    <row r="22" customFormat="false" ht="15" hidden="false" customHeight="false" outlineLevel="0" collapsed="false">
      <c r="A22" s="10" t="n">
        <v>1</v>
      </c>
      <c r="B22" s="5" t="s">
        <v>134</v>
      </c>
      <c r="C22" s="4" t="n">
        <f aca="false">COUNTIF('2. WCM Tracker'!G4:G24,"Completed")</f>
        <v>0</v>
      </c>
      <c r="D22" s="36" t="n">
        <f aca="false">SUMPRODUCT(('2. WCM Tracker'!G4:G24="Completed")*'2. WCM Tracker'!K4:K24)</f>
        <v>0</v>
      </c>
      <c r="E22" s="36" t="n">
        <f aca="false">D22*30</f>
        <v>0</v>
      </c>
      <c r="F22" s="15" t="n">
        <f aca="false">D22*365/1000</f>
        <v>0</v>
      </c>
      <c r="G22" s="34" t="n">
        <f aca="false">IF(C13&gt;0,D22/C13*100,0)</f>
        <v>0</v>
      </c>
    </row>
    <row r="23" customFormat="false" ht="15" hidden="false" customHeight="false" outlineLevel="0" collapsed="false">
      <c r="A23" s="16" t="n">
        <v>2</v>
      </c>
      <c r="B23" s="8" t="s">
        <v>135</v>
      </c>
      <c r="C23" s="7" t="n">
        <f aca="false">COUNTIF('2. WCM Tracker'!G4:G24,"Ongoing")</f>
        <v>0</v>
      </c>
      <c r="D23" s="35" t="n">
        <f aca="false">SUMPRODUCT(('2. WCM Tracker'!G4:G24="Ongoing")*'2. WCM Tracker'!K4:K24)</f>
        <v>0</v>
      </c>
      <c r="E23" s="35" t="n">
        <f aca="false">D23*30</f>
        <v>0</v>
      </c>
      <c r="F23" s="21" t="n">
        <f aca="false">D23*365/1000</f>
        <v>0</v>
      </c>
      <c r="G23" s="33" t="n">
        <f aca="false">IF(C13&gt;0,D23/C13*100,0)</f>
        <v>0</v>
      </c>
    </row>
    <row r="24" customFormat="false" ht="15" hidden="false" customHeight="false" outlineLevel="0" collapsed="false">
      <c r="A24" s="10" t="n">
        <v>3</v>
      </c>
      <c r="B24" s="5" t="s">
        <v>136</v>
      </c>
      <c r="C24" s="4" t="n">
        <f aca="false">COUNTIF('2. WCM Tracker'!G4:G24,"Planned")</f>
        <v>0</v>
      </c>
      <c r="D24" s="36" t="n">
        <f aca="false">SUMPRODUCT(('2. WCM Tracker'!G4:G24="Planned")*'2. WCM Tracker'!K4:K24)</f>
        <v>0</v>
      </c>
      <c r="E24" s="36" t="n">
        <f aca="false">D24*30</f>
        <v>0</v>
      </c>
      <c r="F24" s="15" t="n">
        <f aca="false">D24*365/1000</f>
        <v>0</v>
      </c>
      <c r="G24" s="34" t="n">
        <f aca="false">IF(C13&gt;0,D24/C13*100,0)</f>
        <v>0</v>
      </c>
    </row>
  </sheetData>
  <mergeCells count="3">
    <mergeCell ref="A1:G1"/>
    <mergeCell ref="A2:G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8" min="3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2" t="s">
        <v>137</v>
      </c>
      <c r="B1" s="42"/>
      <c r="C1" s="42"/>
      <c r="D1" s="42"/>
      <c r="E1" s="42"/>
      <c r="F1" s="42"/>
      <c r="G1" s="42"/>
      <c r="H1" s="42"/>
      <c r="I1" s="42"/>
    </row>
    <row r="2" customFormat="false" ht="25.5" hidden="false" customHeight="true" outlineLevel="0" collapsed="false">
      <c r="A2" s="43" t="s">
        <v>138</v>
      </c>
      <c r="B2" s="43"/>
      <c r="C2" s="43"/>
      <c r="D2" s="43"/>
      <c r="E2" s="43"/>
      <c r="F2" s="43"/>
      <c r="G2" s="43"/>
      <c r="H2" s="43"/>
      <c r="I2" s="43"/>
    </row>
    <row r="3" customFormat="false" ht="23.85" hidden="false" customHeight="false" outlineLevel="0" collapsed="false">
      <c r="A3" s="44" t="s">
        <v>53</v>
      </c>
      <c r="B3" s="44" t="s">
        <v>55</v>
      </c>
      <c r="C3" s="44" t="s">
        <v>139</v>
      </c>
      <c r="D3" s="44" t="s">
        <v>140</v>
      </c>
      <c r="E3" s="44" t="s">
        <v>141</v>
      </c>
      <c r="F3" s="44" t="s">
        <v>142</v>
      </c>
      <c r="G3" s="44" t="s">
        <v>143</v>
      </c>
      <c r="H3" s="44" t="s">
        <v>144</v>
      </c>
      <c r="I3" s="44" t="s">
        <v>133</v>
      </c>
    </row>
    <row r="4" customFormat="false" ht="15" hidden="false" customHeight="false" outlineLevel="0" collapsed="false">
      <c r="A4" s="10" t="n">
        <v>1</v>
      </c>
      <c r="B4" s="11" t="s">
        <v>145</v>
      </c>
      <c r="C4" s="12"/>
      <c r="D4" s="13"/>
      <c r="E4" s="13"/>
      <c r="F4" s="36" t="n">
        <f aca="false">IF(D4&gt;0,D4-E4,0)</f>
        <v>0</v>
      </c>
      <c r="G4" s="45" t="n">
        <f aca="false">F4*30</f>
        <v>0</v>
      </c>
      <c r="H4" s="46" t="n">
        <f aca="false">F4*365/1000</f>
        <v>0</v>
      </c>
      <c r="I4" s="34" t="n">
        <f aca="false">IF(SUM($F$4:$F$22)&gt;0,F4/SUM($F$4:$F$22)*100,0)</f>
        <v>0</v>
      </c>
    </row>
    <row r="5" customFormat="false" ht="15" hidden="false" customHeight="false" outlineLevel="0" collapsed="false">
      <c r="A5" s="16" t="n">
        <v>2</v>
      </c>
      <c r="B5" s="17" t="s">
        <v>146</v>
      </c>
      <c r="C5" s="18"/>
      <c r="D5" s="19"/>
      <c r="E5" s="19"/>
      <c r="F5" s="35" t="n">
        <f aca="false">IF(D5&gt;0,D5-E5,0)</f>
        <v>0</v>
      </c>
      <c r="G5" s="47" t="n">
        <f aca="false">F5*30</f>
        <v>0</v>
      </c>
      <c r="H5" s="48" t="n">
        <f aca="false">F5*365/1000</f>
        <v>0</v>
      </c>
      <c r="I5" s="33" t="n">
        <f aca="false">IF(SUM($F$4:$F$22)&gt;0,F5/SUM($F$4:$F$22)*100,0)</f>
        <v>0</v>
      </c>
    </row>
    <row r="6" customFormat="false" ht="15" hidden="false" customHeight="false" outlineLevel="0" collapsed="false">
      <c r="A6" s="10" t="n">
        <v>3</v>
      </c>
      <c r="B6" s="11" t="s">
        <v>147</v>
      </c>
      <c r="C6" s="12"/>
      <c r="D6" s="13"/>
      <c r="E6" s="13"/>
      <c r="F6" s="36" t="n">
        <f aca="false">IF(D6&gt;0,D6-E6,0)</f>
        <v>0</v>
      </c>
      <c r="G6" s="45" t="n">
        <f aca="false">F6*30</f>
        <v>0</v>
      </c>
      <c r="H6" s="46" t="n">
        <f aca="false">F6*365/1000</f>
        <v>0</v>
      </c>
      <c r="I6" s="34" t="n">
        <f aca="false">IF(SUM($F$4:$F$22)&gt;0,F6/SUM($F$4:$F$22)*100,0)</f>
        <v>0</v>
      </c>
    </row>
    <row r="7" customFormat="false" ht="15" hidden="false" customHeight="false" outlineLevel="0" collapsed="false">
      <c r="A7" s="16" t="n">
        <v>4</v>
      </c>
      <c r="B7" s="17" t="s">
        <v>148</v>
      </c>
      <c r="C7" s="18"/>
      <c r="D7" s="19"/>
      <c r="E7" s="19"/>
      <c r="F7" s="35" t="n">
        <f aca="false">IF(D7&gt;0,D7-E7,0)</f>
        <v>0</v>
      </c>
      <c r="G7" s="47" t="n">
        <f aca="false">F7*30</f>
        <v>0</v>
      </c>
      <c r="H7" s="48" t="n">
        <f aca="false">F7*365/1000</f>
        <v>0</v>
      </c>
      <c r="I7" s="33" t="n">
        <f aca="false">IF(SUM($F$4:$F$22)&gt;0,F7/SUM($F$4:$F$22)*100,0)</f>
        <v>0</v>
      </c>
    </row>
    <row r="8" customFormat="false" ht="15" hidden="false" customHeight="false" outlineLevel="0" collapsed="false">
      <c r="A8" s="10" t="n">
        <v>5</v>
      </c>
      <c r="B8" s="11" t="s">
        <v>149</v>
      </c>
      <c r="C8" s="12"/>
      <c r="D8" s="13"/>
      <c r="E8" s="13"/>
      <c r="F8" s="36" t="n">
        <f aca="false">IF(D8&gt;0,D8-E8,0)</f>
        <v>0</v>
      </c>
      <c r="G8" s="45" t="n">
        <f aca="false">F8*30</f>
        <v>0</v>
      </c>
      <c r="H8" s="46" t="n">
        <f aca="false">F8*365/1000</f>
        <v>0</v>
      </c>
      <c r="I8" s="34" t="n">
        <f aca="false">IF(SUM($F$4:$F$22)&gt;0,F8/SUM($F$4:$F$22)*100,0)</f>
        <v>0</v>
      </c>
    </row>
    <row r="9" customFormat="false" ht="15" hidden="false" customHeight="false" outlineLevel="0" collapsed="false">
      <c r="A9" s="16" t="n">
        <v>6</v>
      </c>
      <c r="B9" s="17" t="s">
        <v>150</v>
      </c>
      <c r="C9" s="18"/>
      <c r="D9" s="19"/>
      <c r="E9" s="19"/>
      <c r="F9" s="35" t="n">
        <f aca="false">IF(D9&gt;0,D9-E9,0)</f>
        <v>0</v>
      </c>
      <c r="G9" s="47" t="n">
        <f aca="false">F9*30</f>
        <v>0</v>
      </c>
      <c r="H9" s="48" t="n">
        <f aca="false">F9*365/1000</f>
        <v>0</v>
      </c>
      <c r="I9" s="33" t="n">
        <f aca="false">IF(SUM($F$4:$F$22)&gt;0,F9/SUM($F$4:$F$22)*100,0)</f>
        <v>0</v>
      </c>
    </row>
    <row r="10" customFormat="false" ht="15" hidden="false" customHeight="false" outlineLevel="0" collapsed="false">
      <c r="A10" s="10" t="n">
        <v>7</v>
      </c>
      <c r="B10" s="11" t="s">
        <v>151</v>
      </c>
      <c r="C10" s="12"/>
      <c r="D10" s="13"/>
      <c r="E10" s="13"/>
      <c r="F10" s="36" t="n">
        <f aca="false">IF(D10&gt;0,D10-E10,0)</f>
        <v>0</v>
      </c>
      <c r="G10" s="45" t="n">
        <f aca="false">F10*30</f>
        <v>0</v>
      </c>
      <c r="H10" s="46" t="n">
        <f aca="false">F10*365/1000</f>
        <v>0</v>
      </c>
      <c r="I10" s="34" t="n">
        <f aca="false">IF(SUM($F$4:$F$22)&gt;0,F10/SUM($F$4:$F$22)*100,0)</f>
        <v>0</v>
      </c>
    </row>
    <row r="11" customFormat="false" ht="15" hidden="false" customHeight="false" outlineLevel="0" collapsed="false">
      <c r="A11" s="16" t="n">
        <v>8</v>
      </c>
      <c r="B11" s="17" t="s">
        <v>152</v>
      </c>
      <c r="C11" s="18"/>
      <c r="D11" s="19"/>
      <c r="E11" s="19"/>
      <c r="F11" s="35" t="n">
        <f aca="false">IF(D11&gt;0,D11-E11,0)</f>
        <v>0</v>
      </c>
      <c r="G11" s="47" t="n">
        <f aca="false">F11*30</f>
        <v>0</v>
      </c>
      <c r="H11" s="48" t="n">
        <f aca="false">F11*365/1000</f>
        <v>0</v>
      </c>
      <c r="I11" s="33" t="n">
        <f aca="false">IF(SUM($F$4:$F$22)&gt;0,F11/SUM($F$4:$F$22)*100,0)</f>
        <v>0</v>
      </c>
    </row>
    <row r="12" customFormat="false" ht="15" hidden="false" customHeight="false" outlineLevel="0" collapsed="false">
      <c r="A12" s="10" t="n">
        <v>9</v>
      </c>
      <c r="B12" s="11" t="s">
        <v>153</v>
      </c>
      <c r="C12" s="12"/>
      <c r="D12" s="13"/>
      <c r="E12" s="13"/>
      <c r="F12" s="36" t="n">
        <f aca="false">IF(D12&gt;0,D12-E12,0)</f>
        <v>0</v>
      </c>
      <c r="G12" s="45" t="n">
        <f aca="false">F12*30</f>
        <v>0</v>
      </c>
      <c r="H12" s="46" t="n">
        <f aca="false">F12*365/1000</f>
        <v>0</v>
      </c>
      <c r="I12" s="34" t="n">
        <f aca="false">IF(SUM($F$4:$F$22)&gt;0,F12/SUM($F$4:$F$22)*100,0)</f>
        <v>0</v>
      </c>
    </row>
    <row r="13" customFormat="false" ht="15" hidden="false" customHeight="false" outlineLevel="0" collapsed="false">
      <c r="A13" s="16" t="n">
        <v>10</v>
      </c>
      <c r="B13" s="17" t="s">
        <v>154</v>
      </c>
      <c r="C13" s="18"/>
      <c r="D13" s="19"/>
      <c r="E13" s="19"/>
      <c r="F13" s="35" t="n">
        <f aca="false">IF(D13&gt;0,D13-E13,0)</f>
        <v>0</v>
      </c>
      <c r="G13" s="47" t="n">
        <f aca="false">F13*30</f>
        <v>0</v>
      </c>
      <c r="H13" s="48" t="n">
        <f aca="false">F13*365/1000</f>
        <v>0</v>
      </c>
      <c r="I13" s="33" t="n">
        <f aca="false">IF(SUM($F$4:$F$22)&gt;0,F13/SUM($F$4:$F$22)*100,0)</f>
        <v>0</v>
      </c>
    </row>
    <row r="14" customFormat="false" ht="15" hidden="false" customHeight="false" outlineLevel="0" collapsed="false">
      <c r="A14" s="10" t="n">
        <v>11</v>
      </c>
      <c r="B14" s="11" t="s">
        <v>155</v>
      </c>
      <c r="C14" s="12"/>
      <c r="D14" s="13"/>
      <c r="E14" s="13"/>
      <c r="F14" s="36" t="n">
        <f aca="false">IF(D14&gt;0,D14-E14,0)</f>
        <v>0</v>
      </c>
      <c r="G14" s="45" t="n">
        <f aca="false">F14*30</f>
        <v>0</v>
      </c>
      <c r="H14" s="46" t="n">
        <f aca="false">F14*365/1000</f>
        <v>0</v>
      </c>
      <c r="I14" s="34" t="n">
        <f aca="false">IF(SUM($F$4:$F$22)&gt;0,F14/SUM($F$4:$F$22)*100,0)</f>
        <v>0</v>
      </c>
    </row>
    <row r="15" customFormat="false" ht="15" hidden="false" customHeight="false" outlineLevel="0" collapsed="false">
      <c r="A15" s="16" t="n">
        <v>12</v>
      </c>
      <c r="B15" s="17" t="s">
        <v>156</v>
      </c>
      <c r="C15" s="18"/>
      <c r="D15" s="19"/>
      <c r="E15" s="19"/>
      <c r="F15" s="35" t="n">
        <f aca="false">IF(D15&gt;0,D15-E15,0)</f>
        <v>0</v>
      </c>
      <c r="G15" s="47" t="n">
        <f aca="false">F15*30</f>
        <v>0</v>
      </c>
      <c r="H15" s="48" t="n">
        <f aca="false">F15*365/1000</f>
        <v>0</v>
      </c>
      <c r="I15" s="33" t="n">
        <f aca="false">IF(SUM($F$4:$F$22)&gt;0,F15/SUM($F$4:$F$22)*100,0)</f>
        <v>0</v>
      </c>
    </row>
    <row r="16" customFormat="false" ht="15" hidden="false" customHeight="false" outlineLevel="0" collapsed="false">
      <c r="A16" s="10" t="n">
        <v>13</v>
      </c>
      <c r="B16" s="11" t="s">
        <v>157</v>
      </c>
      <c r="C16" s="12"/>
      <c r="D16" s="13"/>
      <c r="E16" s="13"/>
      <c r="F16" s="36" t="n">
        <f aca="false">IF(D16&gt;0,D16-E16,0)</f>
        <v>0</v>
      </c>
      <c r="G16" s="45" t="n">
        <f aca="false">F16*30</f>
        <v>0</v>
      </c>
      <c r="H16" s="46" t="n">
        <f aca="false">F16*365/1000</f>
        <v>0</v>
      </c>
      <c r="I16" s="34" t="n">
        <f aca="false">IF(SUM($F$4:$F$22)&gt;0,F16/SUM($F$4:$F$22)*100,0)</f>
        <v>0</v>
      </c>
    </row>
    <row r="17" customFormat="false" ht="15" hidden="false" customHeight="false" outlineLevel="0" collapsed="false">
      <c r="A17" s="16" t="n">
        <v>14</v>
      </c>
      <c r="B17" s="17" t="s">
        <v>158</v>
      </c>
      <c r="C17" s="18"/>
      <c r="D17" s="19"/>
      <c r="E17" s="19"/>
      <c r="F17" s="35" t="n">
        <f aca="false">IF(D17&gt;0,D17-E17,0)</f>
        <v>0</v>
      </c>
      <c r="G17" s="47" t="n">
        <f aca="false">F17*30</f>
        <v>0</v>
      </c>
      <c r="H17" s="48" t="n">
        <f aca="false">F17*365/1000</f>
        <v>0</v>
      </c>
      <c r="I17" s="33" t="n">
        <f aca="false">IF(SUM($F$4:$F$22)&gt;0,F17/SUM($F$4:$F$22)*100,0)</f>
        <v>0</v>
      </c>
    </row>
    <row r="18" customFormat="false" ht="15" hidden="false" customHeight="false" outlineLevel="0" collapsed="false">
      <c r="A18" s="10" t="n">
        <v>15</v>
      </c>
      <c r="B18" s="11" t="s">
        <v>159</v>
      </c>
      <c r="C18" s="12"/>
      <c r="D18" s="13"/>
      <c r="E18" s="13"/>
      <c r="F18" s="36" t="n">
        <f aca="false">IF(D18&gt;0,D18-E18,0)</f>
        <v>0</v>
      </c>
      <c r="G18" s="45" t="n">
        <f aca="false">F18*30</f>
        <v>0</v>
      </c>
      <c r="H18" s="46" t="n">
        <f aca="false">F18*365/1000</f>
        <v>0</v>
      </c>
      <c r="I18" s="34" t="n">
        <f aca="false">IF(SUM($F$4:$F$22)&gt;0,F18/SUM($F$4:$F$22)*100,0)</f>
        <v>0</v>
      </c>
    </row>
    <row r="19" customFormat="false" ht="15" hidden="false" customHeight="false" outlineLevel="0" collapsed="false">
      <c r="A19" s="16" t="n">
        <v>16</v>
      </c>
      <c r="B19" s="17" t="s">
        <v>160</v>
      </c>
      <c r="C19" s="18"/>
      <c r="D19" s="19"/>
      <c r="E19" s="19"/>
      <c r="F19" s="35" t="n">
        <f aca="false">IF(D19&gt;0,D19-E19,0)</f>
        <v>0</v>
      </c>
      <c r="G19" s="47" t="n">
        <f aca="false">F19*30</f>
        <v>0</v>
      </c>
      <c r="H19" s="48" t="n">
        <f aca="false">F19*365/1000</f>
        <v>0</v>
      </c>
      <c r="I19" s="33" t="n">
        <f aca="false">IF(SUM($F$4:$F$22)&gt;0,F19/SUM($F$4:$F$22)*100,0)</f>
        <v>0</v>
      </c>
    </row>
    <row r="20" customFormat="false" ht="15" hidden="false" customHeight="false" outlineLevel="0" collapsed="false">
      <c r="A20" s="10" t="n">
        <v>17</v>
      </c>
      <c r="B20" s="11" t="s">
        <v>161</v>
      </c>
      <c r="C20" s="12"/>
      <c r="D20" s="13"/>
      <c r="E20" s="13"/>
      <c r="F20" s="36" t="n">
        <f aca="false">IF(D20&gt;0,D20-E20,0)</f>
        <v>0</v>
      </c>
      <c r="G20" s="45" t="n">
        <f aca="false">F20*30</f>
        <v>0</v>
      </c>
      <c r="H20" s="46" t="n">
        <f aca="false">F20*365/1000</f>
        <v>0</v>
      </c>
      <c r="I20" s="34" t="n">
        <f aca="false">IF(SUM($F$4:$F$22)&gt;0,F20/SUM($F$4:$F$22)*100,0)</f>
        <v>0</v>
      </c>
    </row>
    <row r="21" customFormat="false" ht="15" hidden="false" customHeight="false" outlineLevel="0" collapsed="false">
      <c r="A21" s="16" t="n">
        <v>18</v>
      </c>
      <c r="B21" s="17" t="s">
        <v>162</v>
      </c>
      <c r="C21" s="18"/>
      <c r="D21" s="19"/>
      <c r="E21" s="19"/>
      <c r="F21" s="35" t="n">
        <f aca="false">IF(D21&gt;0,D21-E21,0)</f>
        <v>0</v>
      </c>
      <c r="G21" s="47" t="n">
        <f aca="false">F21*30</f>
        <v>0</v>
      </c>
      <c r="H21" s="48" t="n">
        <f aca="false">F21*365/1000</f>
        <v>0</v>
      </c>
      <c r="I21" s="33" t="n">
        <f aca="false">IF(SUM($F$4:$F$22)&gt;0,F21/SUM($F$4:$F$22)*100,0)</f>
        <v>0</v>
      </c>
    </row>
    <row r="22" customFormat="false" ht="15" hidden="false" customHeight="false" outlineLevel="0" collapsed="false">
      <c r="A22" s="10" t="n">
        <v>19</v>
      </c>
      <c r="B22" s="11" t="s">
        <v>163</v>
      </c>
      <c r="C22" s="12"/>
      <c r="D22" s="13"/>
      <c r="E22" s="13"/>
      <c r="F22" s="36" t="n">
        <f aca="false">IF(D22&gt;0,D22-E22,0)</f>
        <v>0</v>
      </c>
      <c r="G22" s="45" t="n">
        <f aca="false">F22*30</f>
        <v>0</v>
      </c>
      <c r="H22" s="46" t="n">
        <f aca="false">F22*365/1000</f>
        <v>0</v>
      </c>
      <c r="I22" s="34" t="n">
        <f aca="false">IF(SUM($F$4:$F$22)&gt;0,F22/SUM($F$4:$F$22)*100,0)</f>
        <v>0</v>
      </c>
    </row>
    <row r="23" customFormat="false" ht="15" hidden="false" customHeight="true" outlineLevel="0" collapsed="false">
      <c r="A23" s="49" t="s">
        <v>164</v>
      </c>
      <c r="B23" s="49"/>
      <c r="C23" s="50"/>
      <c r="D23" s="24" t="n">
        <f aca="false">SUM(D4:D22)</f>
        <v>0</v>
      </c>
      <c r="E23" s="24" t="n">
        <f aca="false">SUM(E4:E22)</f>
        <v>0</v>
      </c>
      <c r="F23" s="25" t="n">
        <f aca="false">SUM(F4:F22)</f>
        <v>0</v>
      </c>
      <c r="G23" s="24" t="n">
        <f aca="false">SUM(G4:G22)</f>
        <v>0</v>
      </c>
      <c r="H23" s="51" t="n">
        <f aca="false">SUM(H4:H22)</f>
        <v>0</v>
      </c>
      <c r="I23" s="50"/>
    </row>
  </sheetData>
  <mergeCells count="3">
    <mergeCell ref="A1:I1"/>
    <mergeCell ref="A2:I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9" min="3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53</v>
      </c>
      <c r="B3" s="3" t="s">
        <v>167</v>
      </c>
      <c r="C3" s="3" t="s">
        <v>90</v>
      </c>
      <c r="D3" s="3" t="s">
        <v>168</v>
      </c>
      <c r="E3" s="3" t="s">
        <v>169</v>
      </c>
      <c r="F3" s="3" t="s">
        <v>170</v>
      </c>
      <c r="G3" s="3" t="s">
        <v>171</v>
      </c>
      <c r="H3" s="3" t="s">
        <v>172</v>
      </c>
      <c r="I3" s="3" t="s">
        <v>173</v>
      </c>
      <c r="J3" s="3" t="s">
        <v>174</v>
      </c>
    </row>
    <row r="4" customFormat="false" ht="15" hidden="false" customHeight="false" outlineLevel="0" collapsed="false">
      <c r="A4" s="10" t="n">
        <v>1</v>
      </c>
      <c r="B4" s="11" t="s">
        <v>175</v>
      </c>
      <c r="C4" s="12"/>
      <c r="D4" s="12"/>
      <c r="E4" s="12"/>
      <c r="F4" s="12"/>
      <c r="G4" s="12"/>
      <c r="H4" s="12"/>
      <c r="I4" s="4" t="n">
        <f aca="false">IF(AND(D4&gt;0,H4&gt;0),H4-D4,0)</f>
        <v>0</v>
      </c>
      <c r="J4" s="4" t="str">
        <f aca="false">IF(I4&gt;0,"Improving",IF(I4=0,"Stable","Worsening"))</f>
        <v>Stable</v>
      </c>
    </row>
    <row r="5" customFormat="false" ht="15" hidden="false" customHeight="false" outlineLevel="0" collapsed="false">
      <c r="A5" s="16" t="n">
        <v>2</v>
      </c>
      <c r="B5" s="17" t="s">
        <v>176</v>
      </c>
      <c r="C5" s="18"/>
      <c r="D5" s="18"/>
      <c r="E5" s="18"/>
      <c r="F5" s="18"/>
      <c r="G5" s="18"/>
      <c r="H5" s="18"/>
      <c r="I5" s="7" t="n">
        <f aca="false">IF(AND(D5&gt;0,H5&gt;0),H5-D5,0)</f>
        <v>0</v>
      </c>
      <c r="J5" s="7" t="str">
        <f aca="false">IF(I5&gt;0,"Improving",IF(I5=0,"Stable","Worsening"))</f>
        <v>Stable</v>
      </c>
    </row>
    <row r="6" customFormat="false" ht="15" hidden="false" customHeight="false" outlineLevel="0" collapsed="false">
      <c r="A6" s="10" t="n">
        <v>3</v>
      </c>
      <c r="B6" s="11" t="s">
        <v>177</v>
      </c>
      <c r="C6" s="12"/>
      <c r="D6" s="12"/>
      <c r="E6" s="12"/>
      <c r="F6" s="12"/>
      <c r="G6" s="12"/>
      <c r="H6" s="12"/>
      <c r="I6" s="4" t="n">
        <f aca="false">IF(AND(D6&gt;0,H6&gt;0),H6-D6,0)</f>
        <v>0</v>
      </c>
      <c r="J6" s="4" t="str">
        <f aca="false">IF(I6&gt;0,"Improving",IF(I6=0,"Stable","Worsening"))</f>
        <v>Stable</v>
      </c>
    </row>
    <row r="7" customFormat="false" ht="15" hidden="false" customHeight="false" outlineLevel="0" collapsed="false">
      <c r="A7" s="16" t="n">
        <v>4</v>
      </c>
      <c r="B7" s="17" t="s">
        <v>178</v>
      </c>
      <c r="C7" s="18"/>
      <c r="D7" s="18"/>
      <c r="E7" s="18"/>
      <c r="F7" s="18"/>
      <c r="G7" s="18"/>
      <c r="H7" s="18"/>
      <c r="I7" s="7" t="n">
        <f aca="false">IF(AND(D7&gt;0,H7&gt;0),H7-D7,0)</f>
        <v>0</v>
      </c>
      <c r="J7" s="7" t="str">
        <f aca="false">IF(I7&gt;0,"Improving",IF(I7=0,"Stable","Worsening"))</f>
        <v>Stable</v>
      </c>
    </row>
    <row r="8" customFormat="false" ht="15" hidden="false" customHeight="false" outlineLevel="0" collapsed="false">
      <c r="A8" s="10" t="n">
        <v>5</v>
      </c>
      <c r="B8" s="11" t="s">
        <v>179</v>
      </c>
      <c r="C8" s="12"/>
      <c r="D8" s="12"/>
      <c r="E8" s="12"/>
      <c r="F8" s="12"/>
      <c r="G8" s="12"/>
      <c r="H8" s="12"/>
      <c r="I8" s="4" t="n">
        <f aca="false">IF(AND(D8&gt;0,H8&gt;0),H8-D8,0)</f>
        <v>0</v>
      </c>
      <c r="J8" s="4" t="str">
        <f aca="false">IF(I8&gt;0,"Improving",IF(I8=0,"Stable","Worsening"))</f>
        <v>Stable</v>
      </c>
    </row>
    <row r="9" customFormat="false" ht="23.85" hidden="false" customHeight="false" outlineLevel="0" collapsed="false">
      <c r="A9" s="16" t="n">
        <v>6</v>
      </c>
      <c r="B9" s="17" t="s">
        <v>180</v>
      </c>
      <c r="C9" s="18"/>
      <c r="D9" s="18"/>
      <c r="E9" s="18"/>
      <c r="F9" s="18"/>
      <c r="G9" s="18"/>
      <c r="H9" s="18"/>
      <c r="I9" s="7" t="n">
        <f aca="false">IF(AND(D9&gt;0,H9&gt;0),H9-D9,0)</f>
        <v>0</v>
      </c>
      <c r="J9" s="7" t="str">
        <f aca="false">IF(I9&gt;0,"Improving",IF(I9=0,"Stable","Worsening"))</f>
        <v>Stable</v>
      </c>
    </row>
    <row r="10" customFormat="false" ht="15" hidden="false" customHeight="false" outlineLevel="0" collapsed="false">
      <c r="A10" s="10" t="n">
        <v>7</v>
      </c>
      <c r="B10" s="11" t="s">
        <v>181</v>
      </c>
      <c r="C10" s="12"/>
      <c r="D10" s="12"/>
      <c r="E10" s="12"/>
      <c r="F10" s="12"/>
      <c r="G10" s="12"/>
      <c r="H10" s="12"/>
      <c r="I10" s="4" t="n">
        <f aca="false">IF(AND(D10&gt;0,H10&gt;0),H10-D10,0)</f>
        <v>0</v>
      </c>
      <c r="J10" s="4" t="str">
        <f aca="false">IF(I10&gt;0,"Improving",IF(I10=0,"Stable","Worsening"))</f>
        <v>Stable</v>
      </c>
    </row>
    <row r="11" customFormat="false" ht="15" hidden="false" customHeight="false" outlineLevel="0" collapsed="false">
      <c r="A11" s="16" t="n">
        <v>8</v>
      </c>
      <c r="B11" s="17" t="s">
        <v>182</v>
      </c>
      <c r="C11" s="18"/>
      <c r="D11" s="18"/>
      <c r="E11" s="18"/>
      <c r="F11" s="18"/>
      <c r="G11" s="18"/>
      <c r="H11" s="18"/>
      <c r="I11" s="7" t="n">
        <f aca="false">IF(AND(D11&gt;0,H11&gt;0),H11-D11,0)</f>
        <v>0</v>
      </c>
      <c r="J11" s="7" t="str">
        <f aca="false">IF(I11&gt;0,"Improving",IF(I11=0,"Stable","Worsening"))</f>
        <v>Stable</v>
      </c>
    </row>
    <row r="12" customFormat="false" ht="15" hidden="false" customHeight="false" outlineLevel="0" collapsed="false">
      <c r="A12" s="10" t="n">
        <v>9</v>
      </c>
      <c r="B12" s="11" t="s">
        <v>183</v>
      </c>
      <c r="C12" s="12"/>
      <c r="D12" s="12"/>
      <c r="E12" s="12"/>
      <c r="F12" s="12"/>
      <c r="G12" s="12"/>
      <c r="H12" s="12"/>
      <c r="I12" s="4" t="n">
        <f aca="false">IF(AND(D12&gt;0,H12&gt;0),H12-D12,0)</f>
        <v>0</v>
      </c>
      <c r="J12" s="4" t="str">
        <f aca="false">IF(I12&gt;0,"Improving",IF(I12=0,"Stable","Worsening"))</f>
        <v>Stable</v>
      </c>
    </row>
    <row r="13" customFormat="false" ht="15" hidden="false" customHeight="false" outlineLevel="0" collapsed="false">
      <c r="A13" s="16" t="n">
        <v>10</v>
      </c>
      <c r="B13" s="17" t="s">
        <v>184</v>
      </c>
      <c r="C13" s="18"/>
      <c r="D13" s="18"/>
      <c r="E13" s="18"/>
      <c r="F13" s="18"/>
      <c r="G13" s="18"/>
      <c r="H13" s="18"/>
      <c r="I13" s="7" t="n">
        <f aca="false">IF(AND(D13&gt;0,H13&gt;0),H13-D13,0)</f>
        <v>0</v>
      </c>
      <c r="J13" s="7" t="str">
        <f aca="false">IF(I13&gt;0,"Improving",IF(I13=0,"Stable","Worsening"))</f>
        <v>Stable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52" t="s">
        <v>185</v>
      </c>
      <c r="B1" s="52"/>
      <c r="C1" s="52"/>
      <c r="D1" s="52"/>
      <c r="E1" s="52"/>
      <c r="F1" s="52"/>
    </row>
    <row r="2" customFormat="false" ht="25.5" hidden="false" customHeight="true" outlineLevel="0" collapsed="false">
      <c r="A2" s="53" t="s">
        <v>186</v>
      </c>
      <c r="B2" s="53"/>
      <c r="C2" s="53"/>
      <c r="D2" s="53"/>
      <c r="E2" s="53"/>
      <c r="F2" s="53"/>
    </row>
    <row r="3" customFormat="false" ht="15" hidden="false" customHeight="false" outlineLevel="0" collapsed="false">
      <c r="A3" s="54" t="s">
        <v>187</v>
      </c>
      <c r="B3" s="54" t="s">
        <v>188</v>
      </c>
      <c r="C3" s="54" t="s">
        <v>189</v>
      </c>
      <c r="D3" s="54" t="s">
        <v>190</v>
      </c>
      <c r="E3" s="54" t="s">
        <v>191</v>
      </c>
      <c r="F3" s="54" t="s">
        <v>192</v>
      </c>
    </row>
    <row r="4" customFormat="false" ht="31.5" hidden="false" customHeight="true" outlineLevel="0" collapsed="false">
      <c r="A4" s="55" t="n">
        <v>1</v>
      </c>
      <c r="B4" s="56" t="s">
        <v>193</v>
      </c>
      <c r="C4" s="57" t="s">
        <v>194</v>
      </c>
      <c r="D4" s="58"/>
      <c r="E4" s="58"/>
      <c r="F4" s="58"/>
    </row>
    <row r="5" customFormat="false" ht="31.5" hidden="false" customHeight="true" outlineLevel="0" collapsed="false">
      <c r="A5" s="16" t="n">
        <v>2</v>
      </c>
      <c r="B5" s="8" t="s">
        <v>195</v>
      </c>
      <c r="C5" s="9" t="s">
        <v>196</v>
      </c>
      <c r="D5" s="18"/>
      <c r="E5" s="18"/>
      <c r="F5" s="18"/>
    </row>
    <row r="6" customFormat="false" ht="31.5" hidden="false" customHeight="true" outlineLevel="0" collapsed="false">
      <c r="A6" s="55" t="n">
        <v>3</v>
      </c>
      <c r="B6" s="56" t="s">
        <v>197</v>
      </c>
      <c r="C6" s="57" t="s">
        <v>198</v>
      </c>
      <c r="D6" s="58"/>
      <c r="E6" s="58"/>
      <c r="F6" s="58"/>
    </row>
    <row r="7" customFormat="false" ht="31.5" hidden="false" customHeight="true" outlineLevel="0" collapsed="false">
      <c r="A7" s="16" t="n">
        <v>4</v>
      </c>
      <c r="B7" s="8" t="s">
        <v>199</v>
      </c>
      <c r="C7" s="9" t="s">
        <v>200</v>
      </c>
      <c r="D7" s="18"/>
      <c r="E7" s="18"/>
      <c r="F7" s="18"/>
    </row>
    <row r="8" customFormat="false" ht="31.5" hidden="false" customHeight="true" outlineLevel="0" collapsed="false">
      <c r="A8" s="55" t="n">
        <v>5</v>
      </c>
      <c r="B8" s="56" t="s">
        <v>201</v>
      </c>
      <c r="C8" s="57" t="s">
        <v>202</v>
      </c>
      <c r="D8" s="58"/>
      <c r="E8" s="58"/>
      <c r="F8" s="58"/>
    </row>
    <row r="9" customFormat="false" ht="31.5" hidden="false" customHeight="true" outlineLevel="0" collapsed="false">
      <c r="A9" s="16" t="n">
        <v>6</v>
      </c>
      <c r="B9" s="8" t="s">
        <v>203</v>
      </c>
      <c r="C9" s="9" t="s">
        <v>204</v>
      </c>
      <c r="D9" s="18"/>
      <c r="E9" s="18"/>
      <c r="F9" s="18"/>
    </row>
    <row r="10" customFormat="false" ht="31.5" hidden="false" customHeight="true" outlineLevel="0" collapsed="false">
      <c r="A10" s="55" t="n">
        <v>7</v>
      </c>
      <c r="B10" s="56" t="s">
        <v>205</v>
      </c>
      <c r="C10" s="57" t="s">
        <v>206</v>
      </c>
      <c r="D10" s="58"/>
      <c r="E10" s="58"/>
      <c r="F10" s="58"/>
    </row>
    <row r="11" customFormat="false" ht="31.5" hidden="false" customHeight="true" outlineLevel="0" collapsed="false">
      <c r="A11" s="16" t="n">
        <v>8</v>
      </c>
      <c r="B11" s="8" t="s">
        <v>207</v>
      </c>
      <c r="C11" s="9" t="s">
        <v>208</v>
      </c>
      <c r="D11" s="18"/>
      <c r="E11" s="18"/>
      <c r="F11" s="18"/>
    </row>
    <row r="12" customFormat="false" ht="31.5" hidden="false" customHeight="true" outlineLevel="0" collapsed="false">
      <c r="A12" s="55" t="n">
        <v>9</v>
      </c>
      <c r="B12" s="56" t="s">
        <v>209</v>
      </c>
      <c r="C12" s="57" t="s">
        <v>210</v>
      </c>
      <c r="D12" s="58"/>
      <c r="E12" s="58"/>
      <c r="F12" s="58"/>
    </row>
    <row r="13" customFormat="false" ht="31.5" hidden="false" customHeight="true" outlineLevel="0" collapsed="false">
      <c r="A13" s="16" t="n">
        <v>10</v>
      </c>
      <c r="B13" s="8" t="s">
        <v>211</v>
      </c>
      <c r="C13" s="9" t="s">
        <v>212</v>
      </c>
      <c r="D13" s="18"/>
      <c r="E13" s="18"/>
      <c r="F13" s="18"/>
    </row>
    <row r="14" customFormat="false" ht="31.5" hidden="false" customHeight="true" outlineLevel="0" collapsed="false">
      <c r="A14" s="55" t="n">
        <v>11</v>
      </c>
      <c r="B14" s="56" t="s">
        <v>213</v>
      </c>
      <c r="C14" s="57" t="s">
        <v>214</v>
      </c>
      <c r="D14" s="58"/>
      <c r="E14" s="58"/>
      <c r="F14" s="58"/>
    </row>
    <row r="15" customFormat="false" ht="31.5" hidden="false" customHeight="true" outlineLevel="0" collapsed="false">
      <c r="A15" s="16" t="n">
        <v>12</v>
      </c>
      <c r="B15" s="8" t="s">
        <v>215</v>
      </c>
      <c r="C15" s="9" t="s">
        <v>216</v>
      </c>
      <c r="D15" s="18"/>
      <c r="E15" s="18"/>
      <c r="F15" s="18"/>
    </row>
    <row r="16" customFormat="false" ht="31.5" hidden="false" customHeight="true" outlineLevel="0" collapsed="false">
      <c r="A16" s="55" t="n">
        <v>13</v>
      </c>
      <c r="B16" s="56" t="s">
        <v>217</v>
      </c>
      <c r="C16" s="57" t="s">
        <v>218</v>
      </c>
      <c r="D16" s="58"/>
      <c r="E16" s="58"/>
      <c r="F16" s="58"/>
    </row>
    <row r="17" customFormat="false" ht="31.5" hidden="false" customHeight="true" outlineLevel="0" collapsed="false">
      <c r="A17" s="16" t="n">
        <v>14</v>
      </c>
      <c r="B17" s="8" t="s">
        <v>219</v>
      </c>
      <c r="C17" s="9" t="s">
        <v>220</v>
      </c>
      <c r="D17" s="18"/>
      <c r="E17" s="18"/>
      <c r="F17" s="18"/>
    </row>
    <row r="18" customFormat="false" ht="31.5" hidden="false" customHeight="true" outlineLevel="0" collapsed="false">
      <c r="A18" s="55" t="n">
        <v>15</v>
      </c>
      <c r="B18" s="56" t="s">
        <v>221</v>
      </c>
      <c r="C18" s="57" t="s">
        <v>222</v>
      </c>
      <c r="D18" s="58"/>
      <c r="E18" s="58"/>
      <c r="F18" s="58"/>
    </row>
    <row r="19" customFormat="false" ht="31.5" hidden="false" customHeight="true" outlineLevel="0" collapsed="false">
      <c r="A19" s="16" t="n">
        <v>16</v>
      </c>
      <c r="B19" s="8" t="s">
        <v>223</v>
      </c>
      <c r="C19" s="9" t="s">
        <v>224</v>
      </c>
      <c r="D19" s="18"/>
      <c r="E19" s="18"/>
      <c r="F19" s="18"/>
    </row>
    <row r="20" customFormat="false" ht="31.5" hidden="false" customHeight="true" outlineLevel="0" collapsed="false">
      <c r="A20" s="55" t="n">
        <v>17</v>
      </c>
      <c r="B20" s="56" t="s">
        <v>225</v>
      </c>
      <c r="C20" s="57" t="s">
        <v>226</v>
      </c>
      <c r="D20" s="58"/>
      <c r="E20" s="58"/>
      <c r="F20" s="58"/>
    </row>
    <row r="21" customFormat="false" ht="31.5" hidden="false" customHeight="true" outlineLevel="0" collapsed="false">
      <c r="A21" s="16" t="n">
        <v>18</v>
      </c>
      <c r="B21" s="8" t="s">
        <v>227</v>
      </c>
      <c r="C21" s="9" t="s">
        <v>228</v>
      </c>
      <c r="D21" s="18"/>
      <c r="E21" s="18"/>
      <c r="F21" s="18"/>
    </row>
    <row r="22" customFormat="false" ht="31.5" hidden="false" customHeight="true" outlineLevel="0" collapsed="false">
      <c r="A22" s="55" t="n">
        <v>19</v>
      </c>
      <c r="B22" s="56" t="s">
        <v>229</v>
      </c>
      <c r="C22" s="57" t="s">
        <v>230</v>
      </c>
      <c r="D22" s="58"/>
      <c r="E22" s="58"/>
      <c r="F22" s="58"/>
    </row>
    <row r="23" customFormat="false" ht="31.5" hidden="false" customHeight="true" outlineLevel="0" collapsed="false">
      <c r="A23" s="16" t="n">
        <v>20</v>
      </c>
      <c r="B23" s="8" t="s">
        <v>231</v>
      </c>
      <c r="C23" s="9" t="s">
        <v>232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2026-06-01T08:58:34Z</dcterms:created>
  <dc:creator>openpyxl</dc:creator>
  <dc:description/>
  <dc:language>en-US</dc:language>
  <cp:lastModifiedBy/>
  <dcterms:modified xsi:type="dcterms:W3CDTF">2026-06-01T08:58:34Z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