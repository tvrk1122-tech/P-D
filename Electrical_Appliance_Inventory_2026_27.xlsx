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aster Inventory" sheetId="1" state="visible" r:id="rId3"/>
    <sheet name="2. Energy Consumption" sheetId="2" state="visible" r:id="rId4"/>
    <sheet name="3. Block-wise Analysis" sheetId="3" state="visible" r:id="rId5"/>
    <sheet name="4. Category Dashboard" sheetId="4" state="visible" r:id="rId6"/>
    <sheet name="5. Condition &amp; Maintenance" sheetId="5" state="visible" r:id="rId7"/>
    <sheet name="6. Energy Efficiency Rating" sheetId="6" state="visible" r:id="rId8"/>
    <sheet name="7. Solar &amp; RE Potential" sheetId="7" state="visible" r:id="rId9"/>
    <sheet name="8. Inspection 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<sst xmlns="http://schemas.openxmlformats.org/spreadsheetml/2006/main" count="198" uniqueCount="140">
  <si>
    <t xml:space="preserve">INVENTORY OF ELECTRICAL APPLIANCES — Academic Year 2026–27</t>
  </si>
  <si>
    <t xml:space="preserve">Complete Block-wise Inventory | All quantities auto-totalled | Data by Physical Inspection / Departmental Records</t>
  </si>
  <si>
    <t xml:space="preserve">Sl. No.</t>
  </si>
  <si>
    <t xml:space="preserve">Block / Building Name</t>
  </si>
  <si>
    <t xml:space="preserve">Tube Lights</t>
  </si>
  <si>
    <t xml:space="preserve">Ceiling Fans</t>
  </si>
  <si>
    <t xml:space="preserve">LED Lights</t>
  </si>
  <si>
    <t xml:space="preserve">Wall Fans</t>
  </si>
  <si>
    <t xml:space="preserve">Standing Fans</t>
  </si>
  <si>
    <t xml:space="preserve">Exhaust Fans</t>
  </si>
  <si>
    <t xml:space="preserve">Heaters</t>
  </si>
  <si>
    <t xml:space="preserve">Coolers</t>
  </si>
  <si>
    <t xml:space="preserve">Refrigerators</t>
  </si>
  <si>
    <t xml:space="preserve">Air Conditioners (AC)</t>
  </si>
  <si>
    <t xml:space="preserve">Total Appliances</t>
  </si>
  <si>
    <t xml:space="preserve">Remarks</t>
  </si>
  <si>
    <t xml:space="preserve">Main Academic Block</t>
  </si>
  <si>
    <t xml:space="preserve">–</t>
  </si>
  <si>
    <t xml:space="preserve">Science Block</t>
  </si>
  <si>
    <t xml:space="preserve">Engineering Block</t>
  </si>
  <si>
    <t xml:space="preserve">Library</t>
  </si>
  <si>
    <t xml:space="preserve">Computer Centre</t>
  </si>
  <si>
    <t xml:space="preserve">Server room AC included</t>
  </si>
  <si>
    <t xml:space="preserve">Hostel – A (Boys)</t>
  </si>
  <si>
    <t xml:space="preserve">Hostel – B (Boys)</t>
  </si>
  <si>
    <t xml:space="preserve">Hostel – C (Girls)</t>
  </si>
  <si>
    <t xml:space="preserve">Hostel – D (Girls)</t>
  </si>
  <si>
    <t xml:space="preserve">Canteen / Mess</t>
  </si>
  <si>
    <t xml:space="preserve">Kitchen equipment separate</t>
  </si>
  <si>
    <t xml:space="preserve">Administrative Block</t>
  </si>
  <si>
    <t xml:space="preserve">Examination Hall</t>
  </si>
  <si>
    <t xml:space="preserve">Auditorium / Seminar Hall</t>
  </si>
  <si>
    <t xml:space="preserve">Workshop / Lab Complex</t>
  </si>
  <si>
    <t xml:space="preserve">Sports Complex / Gym</t>
  </si>
  <si>
    <t xml:space="preserve">Staff Quarters – Block A</t>
  </si>
  <si>
    <t xml:space="preserve">Staff Quarters – Block B</t>
  </si>
  <si>
    <t xml:space="preserve">Guest House</t>
  </si>
  <si>
    <t xml:space="preserve">Health Centre / Dispensary</t>
  </si>
  <si>
    <t xml:space="preserve">Security / Gate Office</t>
  </si>
  <si>
    <t xml:space="preserve">GRAND TOTAL</t>
  </si>
  <si>
    <t xml:space="preserve">% Distribution</t>
  </si>
  <si>
    <t xml:space="preserve">100%</t>
  </si>
  <si>
    <t xml:space="preserve">ENERGY CONSUMPTION &amp; COST ANALYSIS — A.Y. 2026–27</t>
  </si>
  <si>
    <t xml:space="preserve">Auto-calculated from Master Inventory | Wattage × Quantity × Usage Hours | All costs in INR (₹)</t>
  </si>
  <si>
    <t xml:space="preserve">Appliance Type</t>
  </si>
  <si>
    <t xml:space="preserve">Qty (from Inventory)</t>
  </si>
  <si>
    <t xml:space="preserve">Rated Wattage (W)</t>
  </si>
  <si>
    <t xml:space="preserve">Total Wattage (kW)</t>
  </si>
  <si>
    <t xml:space="preserve">Avg Daily Usage (hrs)</t>
  </si>
  <si>
    <t xml:space="preserve">Daily Consumption (kWh)</t>
  </si>
  <si>
    <t xml:space="preserve">Monthly Consumption (kWh)</t>
  </si>
  <si>
    <t xml:space="preserve">Annual Consumption (kWh)</t>
  </si>
  <si>
    <t xml:space="preserve">Electricity Rate (₹/kWh)</t>
  </si>
  <si>
    <t xml:space="preserve">Monthly Cost (₹)</t>
  </si>
  <si>
    <t xml:space="preserve">Annual Cost (₹)</t>
  </si>
  <si>
    <t xml:space="preserve">Key Energy Metrics — Auto-Calculated</t>
  </si>
  <si>
    <t xml:space="preserve">Total Connected Load (kW)</t>
  </si>
  <si>
    <t xml:space="preserve">Total Daily Consumption (kWh)</t>
  </si>
  <si>
    <t xml:space="preserve">Total Monthly Consumption (kWh)</t>
  </si>
  <si>
    <t xml:space="preserve">Total Annual Consumption (kWh)</t>
  </si>
  <si>
    <t xml:space="preserve">Total Monthly Electricity Bill (₹)</t>
  </si>
  <si>
    <t xml:space="preserve">Total Annual Electricity Bill (₹)</t>
  </si>
  <si>
    <t xml:space="preserve">Avg Cost per Appliance per Month (₹)</t>
  </si>
  <si>
    <t xml:space="preserve">Top Energy Consumer</t>
  </si>
  <si>
    <t xml:space="preserve">BLOCK-WISE ENERGY CONSUMPTION ANALYSIS</t>
  </si>
  <si>
    <t xml:space="preserve">Per-block totals, connected load, estimated consumption &amp; cost | Auto-linked to Master Inventory</t>
  </si>
  <si>
    <t xml:space="preserve">Connected Load (kW)</t>
  </si>
  <si>
    <t xml:space="preserve">% of Total Energy</t>
  </si>
  <si>
    <t xml:space="preserve">CATEGORY-WISE APPLIANCE SUMMARY DASHBOARD</t>
  </si>
  <si>
    <t xml:space="preserve">Grouped Analysis: Lighting | Cooling/Ventilation | Heating | Refrigeration | Air Conditioning</t>
  </si>
  <si>
    <t xml:space="preserve">#</t>
  </si>
  <si>
    <t xml:space="preserve">Category</t>
  </si>
  <si>
    <t xml:space="preserve">Appliance Types</t>
  </si>
  <si>
    <t xml:space="preserve">Total Quantity</t>
  </si>
  <si>
    <t xml:space="preserve">% of Total Qty</t>
  </si>
  <si>
    <t xml:space="preserve">% of Total Load</t>
  </si>
  <si>
    <t xml:space="preserve">Lighting</t>
  </si>
  <si>
    <t xml:space="preserve">Tube Lights + LED Lights</t>
  </si>
  <si>
    <t xml:space="preserve">Fans &amp; Ventilation</t>
  </si>
  <si>
    <t xml:space="preserve">Ceiling + Wall + Standing + Exhaust</t>
  </si>
  <si>
    <t xml:space="preserve">Heating</t>
  </si>
  <si>
    <t xml:space="preserve">Cooling (Evaporative)</t>
  </si>
  <si>
    <t xml:space="preserve">Refrigeration</t>
  </si>
  <si>
    <t xml:space="preserve">Air Conditioning</t>
  </si>
  <si>
    <t xml:space="preserve">APPLIANCE CONDITION &amp; MAINTENANCE TRACKER — A.Y. 2026–27</t>
  </si>
  <si>
    <t xml:space="preserve">Tracks working/non-working/under-repair status | Calculates operational rate &amp; replacement needs</t>
  </si>
  <si>
    <t xml:space="preserve">Block / Building</t>
  </si>
  <si>
    <t xml:space="preserve">Total Qty</t>
  </si>
  <si>
    <t xml:space="preserve">Working</t>
  </si>
  <si>
    <t xml:space="preserve">Non-Working</t>
  </si>
  <si>
    <t xml:space="preserve">Under Repair</t>
  </si>
  <si>
    <t xml:space="preserve">Operational Rate (%)</t>
  </si>
  <si>
    <t xml:space="preserve">Replacement Cost Est. (₹)</t>
  </si>
  <si>
    <t xml:space="preserve">Priority (H/M/L)</t>
  </si>
  <si>
    <t xml:space="preserve">Last Inspection Date</t>
  </si>
  <si>
    <t xml:space="preserve">Condition Summary — Auto-Calculated</t>
  </si>
  <si>
    <t xml:space="preserve">Total Appliances Tracked</t>
  </si>
  <si>
    <t xml:space="preserve">Total Working</t>
  </si>
  <si>
    <t xml:space="preserve">Total Non-Working</t>
  </si>
  <si>
    <t xml:space="preserve">Total Under Repair</t>
  </si>
  <si>
    <t xml:space="preserve">Overall Operational Rate (%)</t>
  </si>
  <si>
    <t xml:space="preserve">Total Est. Replacement Cost (₹)</t>
  </si>
  <si>
    <t xml:space="preserve">High Priority Items</t>
  </si>
  <si>
    <t xml:space="preserve">BEE STAR RATING &amp; ENERGY EFFICIENCY AUDIT — A.Y. 2026–27</t>
  </si>
  <si>
    <t xml:space="preserve">Bureau of Energy Efficiency (BEE) ratings | Tracks star-rated vs. non-rated appliances | Savings potential</t>
  </si>
  <si>
    <t xml:space="preserve">Qty</t>
  </si>
  <si>
    <t xml:space="preserve">BEE Star Rating (1-5/NA)</t>
  </si>
  <si>
    <t xml:space="preserve">Energy Label (Y/N)</t>
  </si>
  <si>
    <t xml:space="preserve">Efficient Alternative (kWh)</t>
  </si>
  <si>
    <t xml:space="preserve">Potential Savings (kWh)</t>
  </si>
  <si>
    <t xml:space="preserve">Potential Cost Savings (₹/yr)</t>
  </si>
  <si>
    <t xml:space="preserve">Upgrade Priority</t>
  </si>
  <si>
    <t xml:space="preserve">Efficiency Summary</t>
  </si>
  <si>
    <t xml:space="preserve">Total Items Audited</t>
  </si>
  <si>
    <t xml:space="preserve">5-Star Rated Appliances</t>
  </si>
  <si>
    <t xml:space="preserve">Non-Rated Appliances</t>
  </si>
  <si>
    <t xml:space="preserve">Total Potential Energy Savings (kWh/yr)</t>
  </si>
  <si>
    <t xml:space="preserve">Total Potential Cost Savings (₹/yr)</t>
  </si>
  <si>
    <t xml:space="preserve">SOLAR / RENEWABLE ENERGY INTEGRATION POTENTIAL — A.Y. 2026–27</t>
  </si>
  <si>
    <t xml:space="preserve">Maps rooftop solar potential vs. current electrical load | Calculates % load offset by RE</t>
  </si>
  <si>
    <t xml:space="preserve">Rooftop Area (sq.m.)</t>
  </si>
  <si>
    <t xml:space="preserve">Usable Area for Solar (sq.m.)</t>
  </si>
  <si>
    <t xml:space="preserve">Solar Capacity (kWp)</t>
  </si>
  <si>
    <t xml:space="preserve">Est. Annual Solar Generation (kWh)</t>
  </si>
  <si>
    <t xml:space="preserve">Current Annual Load (kWh)</t>
  </si>
  <si>
    <t xml:space="preserve">% Load Offset by Solar</t>
  </si>
  <si>
    <t xml:space="preserve">Annual Savings (₹)</t>
  </si>
  <si>
    <t xml:space="preserve">Investment Required (₹)</t>
  </si>
  <si>
    <t xml:space="preserve">INSTITUTION TOTAL</t>
  </si>
  <si>
    <t xml:space="preserve">Solar Investment Payback — Auto-Calculated</t>
  </si>
  <si>
    <t xml:space="preserve">Simple Payback Period (Years)</t>
  </si>
  <si>
    <t xml:space="preserve">ELECTRICAL INSPECTION &amp; SAFETY AUDIT LOG — A.Y. 2026–27</t>
  </si>
  <si>
    <t xml:space="preserve">Record of all physical inspections, safety audits, and compliance checks</t>
  </si>
  <si>
    <t xml:space="preserve">Date of Inspection</t>
  </si>
  <si>
    <t xml:space="preserve">Inspector Name</t>
  </si>
  <si>
    <t xml:space="preserve">Type (Routine/Safety/Compliance/Special)</t>
  </si>
  <si>
    <t xml:space="preserve">Issues Found</t>
  </si>
  <si>
    <t xml:space="preserve">Corrective Action Taken</t>
  </si>
  <si>
    <t xml:space="preserve">Status (Resolved/Pending/Scheduled)</t>
  </si>
  <si>
    <t xml:space="preserve">Next Inspection Due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</si>
</sst>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\%"/>
    <numFmt numFmtId="167" formatCode="#,##0.0"/>
    <numFmt numFmtId="168" formatCode="\₹#,##0.00"/>
    <numFmt numFmtId="169" formatCode="\₹#,##0"/>
    <numFmt numFmtId="170" formatCode="@"/>
    <numFmt numFmtId="171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color rgb="FF2E7D32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47A1"/>
        <bgColor rgb="FF0066CC"/>
      </patternFill>
    </fill>
    <fill>
      <patternFill patternType="solid">
        <fgColor rgb="FF1A2E4F"/>
        <bgColor rgb="FF333333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FFF8E1"/>
        <bgColor rgb="FFF5F5F5"/>
      </patternFill>
    </fill>
    <fill>
      <patternFill patternType="solid">
        <fgColor rgb="FFFF8F00"/>
        <bgColor rgb="FFF9A825"/>
      </patternFill>
    </fill>
    <fill>
      <patternFill patternType="solid">
        <fgColor rgb="FFE8F5E9"/>
        <bgColor rgb="FFF5F5F5"/>
      </patternFill>
    </fill>
    <fill>
      <patternFill patternType="solid">
        <fgColor rgb="FF00695C"/>
        <bgColor rgb="FF008080"/>
      </patternFill>
    </fill>
    <fill>
      <patternFill patternType="solid">
        <fgColor rgb="FF6A1B9A"/>
        <bgColor rgb="FF800080"/>
      </patternFill>
    </fill>
    <fill>
      <patternFill patternType="solid">
        <fgColor rgb="FFC62828"/>
        <bgColor rgb="FF993366"/>
      </patternFill>
    </fill>
    <fill>
      <patternFill patternType="solid">
        <fgColor rgb="FF2E7D32"/>
        <bgColor rgb="FF008000"/>
      </patternFill>
    </fill>
    <fill>
      <patternFill patternType="solid">
        <fgColor rgb="FFF9A825"/>
        <bgColor rgb="FFFF8F00"/>
      </patternFill>
    </fill>
    <fill>
      <patternFill patternType="solid">
        <fgColor rgb="FF546E7A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62828"/>
        <sz val="10"/>
      </font>
      <fill>
        <patternFill>
          <bgColor rgb="FFFFEBEE"/>
        </patternFill>
      </fill>
    </dxf>
    <dxf>
      <font>
        <name val="Arial"/>
        <charset val="1"/>
        <family val="0"/>
        <b val="1"/>
        <color rgb="FF2E7D32"/>
        <sz val="10"/>
      </font>
      <fill>
        <patternFill>
          <bgColor rgb="FFE8F5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695C"/>
      <rgbColor rgb="FFBDBDBD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9A825"/>
      <rgbColor rgb="FFFF8F00"/>
      <rgbColor rgb="FFFF6600"/>
      <rgbColor rgb="FF546E7A"/>
      <rgbColor rgb="FF969696"/>
      <rgbColor rgb="FF1A2E4F"/>
      <rgbColor rgb="FF2E7D32"/>
      <rgbColor rgb="FF003300"/>
      <rgbColor rgb="FF333300"/>
      <rgbColor rgb="FFC62828"/>
      <rgbColor rgb="FF993366"/>
      <rgbColor rgb="FF0D47A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47A1"/>
    <pageSetUpPr fitToPage="false"/>
  </sheetPr>
  <dimension ref="A1:N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13" min="3" style="0" width="14"/>
    <col collapsed="false" customWidth="true" hidden="false" outlineLevel="0" max="14" min="14" style="0" width="20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5" t="s">
        <v>16</v>
      </c>
      <c r="C5" s="6" t="n">
        <v>120</v>
      </c>
      <c r="D5" s="6" t="n">
        <v>80</v>
      </c>
      <c r="E5" s="6" t="n">
        <v>60</v>
      </c>
      <c r="F5" s="6" t="n">
        <v>15</v>
      </c>
      <c r="G5" s="6" t="n">
        <v>10</v>
      </c>
      <c r="H5" s="6" t="n">
        <v>5</v>
      </c>
      <c r="I5" s="6" t="n">
        <v>0</v>
      </c>
      <c r="J5" s="6" t="n">
        <v>0</v>
      </c>
      <c r="K5" s="6" t="n">
        <v>2</v>
      </c>
      <c r="L5" s="6" t="n">
        <v>8</v>
      </c>
      <c r="M5" s="7" t="n">
        <f aca="false">SUM(C5:L5)</f>
        <v>300</v>
      </c>
      <c r="N5" s="8" t="s">
        <v>17</v>
      </c>
    </row>
    <row r="6" customFormat="false" ht="15" hidden="false" customHeight="false" outlineLevel="0" collapsed="false">
      <c r="A6" s="9" t="n">
        <v>2</v>
      </c>
      <c r="B6" s="10" t="s">
        <v>18</v>
      </c>
      <c r="C6" s="11" t="n">
        <v>95</v>
      </c>
      <c r="D6" s="11" t="n">
        <v>65</v>
      </c>
      <c r="E6" s="11" t="n">
        <v>70</v>
      </c>
      <c r="F6" s="11" t="n">
        <v>12</v>
      </c>
      <c r="G6" s="11" t="n">
        <v>8</v>
      </c>
      <c r="H6" s="11" t="n">
        <v>6</v>
      </c>
      <c r="I6" s="11" t="n">
        <v>0</v>
      </c>
      <c r="J6" s="11" t="n">
        <v>0</v>
      </c>
      <c r="K6" s="11" t="n">
        <v>1</v>
      </c>
      <c r="L6" s="11" t="n">
        <v>6</v>
      </c>
      <c r="M6" s="12" t="n">
        <f aca="false">SUM(C6:L6)</f>
        <v>263</v>
      </c>
      <c r="N6" s="13" t="s">
        <v>17</v>
      </c>
    </row>
    <row r="7" customFormat="false" ht="15" hidden="false" customHeight="false" outlineLevel="0" collapsed="false">
      <c r="A7" s="4" t="n">
        <v>3</v>
      </c>
      <c r="B7" s="5" t="s">
        <v>19</v>
      </c>
      <c r="C7" s="6" t="n">
        <v>110</v>
      </c>
      <c r="D7" s="6" t="n">
        <v>75</v>
      </c>
      <c r="E7" s="6" t="n">
        <v>80</v>
      </c>
      <c r="F7" s="6" t="n">
        <v>14</v>
      </c>
      <c r="G7" s="6" t="n">
        <v>12</v>
      </c>
      <c r="H7" s="6" t="n">
        <v>8</v>
      </c>
      <c r="I7" s="6" t="n">
        <v>0</v>
      </c>
      <c r="J7" s="6" t="n">
        <v>0</v>
      </c>
      <c r="K7" s="6" t="n">
        <v>2</v>
      </c>
      <c r="L7" s="6" t="n">
        <v>10</v>
      </c>
      <c r="M7" s="7" t="n">
        <f aca="false">SUM(C7:L7)</f>
        <v>311</v>
      </c>
      <c r="N7" s="8" t="s">
        <v>17</v>
      </c>
    </row>
    <row r="8" customFormat="false" ht="15" hidden="false" customHeight="false" outlineLevel="0" collapsed="false">
      <c r="A8" s="9" t="n">
        <v>4</v>
      </c>
      <c r="B8" s="10" t="s">
        <v>20</v>
      </c>
      <c r="C8" s="11" t="n">
        <v>40</v>
      </c>
      <c r="D8" s="11" t="n">
        <v>25</v>
      </c>
      <c r="E8" s="11" t="n">
        <v>30</v>
      </c>
      <c r="F8" s="11" t="n">
        <v>5</v>
      </c>
      <c r="G8" s="11" t="n">
        <v>2</v>
      </c>
      <c r="H8" s="11" t="n">
        <v>3</v>
      </c>
      <c r="I8" s="11" t="n">
        <v>0</v>
      </c>
      <c r="J8" s="11" t="n">
        <v>0</v>
      </c>
      <c r="K8" s="11" t="n">
        <v>1</v>
      </c>
      <c r="L8" s="11" t="n">
        <v>4</v>
      </c>
      <c r="M8" s="12" t="n">
        <f aca="false">SUM(C8:L8)</f>
        <v>110</v>
      </c>
      <c r="N8" s="13" t="s">
        <v>17</v>
      </c>
    </row>
    <row r="9" customFormat="false" ht="23.85" hidden="false" customHeight="false" outlineLevel="0" collapsed="false">
      <c r="A9" s="4" t="n">
        <v>5</v>
      </c>
      <c r="B9" s="5" t="s">
        <v>21</v>
      </c>
      <c r="C9" s="6" t="n">
        <v>30</v>
      </c>
      <c r="D9" s="6" t="n">
        <v>20</v>
      </c>
      <c r="E9" s="6" t="n">
        <v>45</v>
      </c>
      <c r="F9" s="6" t="n">
        <v>4</v>
      </c>
      <c r="G9" s="6" t="n">
        <v>3</v>
      </c>
      <c r="H9" s="6" t="n">
        <v>4</v>
      </c>
      <c r="I9" s="6" t="n">
        <v>0</v>
      </c>
      <c r="J9" s="6" t="n">
        <v>0</v>
      </c>
      <c r="K9" s="6" t="n">
        <v>0</v>
      </c>
      <c r="L9" s="6" t="n">
        <v>12</v>
      </c>
      <c r="M9" s="7" t="n">
        <f aca="false">SUM(C9:L9)</f>
        <v>118</v>
      </c>
      <c r="N9" s="8" t="s">
        <v>22</v>
      </c>
    </row>
    <row r="10" customFormat="false" ht="15" hidden="false" customHeight="false" outlineLevel="0" collapsed="false">
      <c r="A10" s="9" t="n">
        <v>6</v>
      </c>
      <c r="B10" s="10" t="s">
        <v>23</v>
      </c>
      <c r="C10" s="11" t="n">
        <v>200</v>
      </c>
      <c r="D10" s="11" t="n">
        <v>150</v>
      </c>
      <c r="E10" s="11" t="n">
        <v>100</v>
      </c>
      <c r="F10" s="11" t="n">
        <v>25</v>
      </c>
      <c r="G10" s="11" t="n">
        <v>10</v>
      </c>
      <c r="H10" s="11" t="n">
        <v>8</v>
      </c>
      <c r="I10" s="11" t="n">
        <v>12</v>
      </c>
      <c r="J10" s="11" t="n">
        <v>6</v>
      </c>
      <c r="K10" s="11" t="n">
        <v>2</v>
      </c>
      <c r="L10" s="11" t="n">
        <v>15</v>
      </c>
      <c r="M10" s="12" t="n">
        <f aca="false">SUM(C10:L10)</f>
        <v>528</v>
      </c>
      <c r="N10" s="13" t="s">
        <v>17</v>
      </c>
    </row>
    <row r="11" customFormat="false" ht="15" hidden="false" customHeight="false" outlineLevel="0" collapsed="false">
      <c r="A11" s="4" t="n">
        <v>7</v>
      </c>
      <c r="B11" s="5" t="s">
        <v>24</v>
      </c>
      <c r="C11" s="6" t="n">
        <v>180</v>
      </c>
      <c r="D11" s="6" t="n">
        <v>140</v>
      </c>
      <c r="E11" s="6" t="n">
        <v>90</v>
      </c>
      <c r="F11" s="6" t="n">
        <v>20</v>
      </c>
      <c r="G11" s="6" t="n">
        <v>8</v>
      </c>
      <c r="H11" s="6" t="n">
        <v>7</v>
      </c>
      <c r="I11" s="6" t="n">
        <v>10</v>
      </c>
      <c r="J11" s="6" t="n">
        <v>5</v>
      </c>
      <c r="K11" s="6" t="n">
        <v>2</v>
      </c>
      <c r="L11" s="6" t="n">
        <v>12</v>
      </c>
      <c r="M11" s="7" t="n">
        <f aca="false">SUM(C11:L11)</f>
        <v>474</v>
      </c>
      <c r="N11" s="8" t="s">
        <v>17</v>
      </c>
    </row>
    <row r="12" customFormat="false" ht="15" hidden="false" customHeight="false" outlineLevel="0" collapsed="false">
      <c r="A12" s="9" t="n">
        <v>8</v>
      </c>
      <c r="B12" s="10" t="s">
        <v>25</v>
      </c>
      <c r="C12" s="11" t="n">
        <v>190</v>
      </c>
      <c r="D12" s="11" t="n">
        <v>145</v>
      </c>
      <c r="E12" s="11" t="n">
        <v>95</v>
      </c>
      <c r="F12" s="11" t="n">
        <v>22</v>
      </c>
      <c r="G12" s="11" t="n">
        <v>9</v>
      </c>
      <c r="H12" s="11" t="n">
        <v>8</v>
      </c>
      <c r="I12" s="11" t="n">
        <v>11</v>
      </c>
      <c r="J12" s="11" t="n">
        <v>5</v>
      </c>
      <c r="K12" s="11" t="n">
        <v>2</v>
      </c>
      <c r="L12" s="11" t="n">
        <v>14</v>
      </c>
      <c r="M12" s="12" t="n">
        <f aca="false">SUM(C12:L12)</f>
        <v>501</v>
      </c>
      <c r="N12" s="13" t="s">
        <v>17</v>
      </c>
    </row>
    <row r="13" customFormat="false" ht="15" hidden="false" customHeight="false" outlineLevel="0" collapsed="false">
      <c r="A13" s="4" t="n">
        <v>9</v>
      </c>
      <c r="B13" s="5" t="s">
        <v>26</v>
      </c>
      <c r="C13" s="6" t="n">
        <v>170</v>
      </c>
      <c r="D13" s="6" t="n">
        <v>130</v>
      </c>
      <c r="E13" s="6" t="n">
        <v>85</v>
      </c>
      <c r="F13" s="6" t="n">
        <v>18</v>
      </c>
      <c r="G13" s="6" t="n">
        <v>7</v>
      </c>
      <c r="H13" s="6" t="n">
        <v>6</v>
      </c>
      <c r="I13" s="6" t="n">
        <v>8</v>
      </c>
      <c r="J13" s="6" t="n">
        <v>4</v>
      </c>
      <c r="K13" s="6" t="n">
        <v>2</v>
      </c>
      <c r="L13" s="6" t="n">
        <v>10</v>
      </c>
      <c r="M13" s="7" t="n">
        <f aca="false">SUM(C13:L13)</f>
        <v>440</v>
      </c>
      <c r="N13" s="8" t="s">
        <v>17</v>
      </c>
    </row>
    <row r="14" customFormat="false" ht="23.85" hidden="false" customHeight="false" outlineLevel="0" collapsed="false">
      <c r="A14" s="9" t="n">
        <v>10</v>
      </c>
      <c r="B14" s="10" t="s">
        <v>27</v>
      </c>
      <c r="C14" s="11" t="n">
        <v>35</v>
      </c>
      <c r="D14" s="11" t="n">
        <v>20</v>
      </c>
      <c r="E14" s="11" t="n">
        <v>15</v>
      </c>
      <c r="F14" s="11" t="n">
        <v>5</v>
      </c>
      <c r="G14" s="11" t="n">
        <v>2</v>
      </c>
      <c r="H14" s="11" t="n">
        <v>6</v>
      </c>
      <c r="I14" s="11" t="n">
        <v>4</v>
      </c>
      <c r="J14" s="11" t="n">
        <v>2</v>
      </c>
      <c r="K14" s="11" t="n">
        <v>3</v>
      </c>
      <c r="L14" s="11" t="n">
        <v>4</v>
      </c>
      <c r="M14" s="12" t="n">
        <f aca="false">SUM(C14:L14)</f>
        <v>96</v>
      </c>
      <c r="N14" s="13" t="s">
        <v>28</v>
      </c>
    </row>
    <row r="15" customFormat="false" ht="15" hidden="false" customHeight="false" outlineLevel="0" collapsed="false">
      <c r="A15" s="4" t="n">
        <v>11</v>
      </c>
      <c r="B15" s="5" t="s">
        <v>29</v>
      </c>
      <c r="C15" s="6" t="n">
        <v>50</v>
      </c>
      <c r="D15" s="6" t="n">
        <v>30</v>
      </c>
      <c r="E15" s="6" t="n">
        <v>25</v>
      </c>
      <c r="F15" s="6" t="n">
        <v>8</v>
      </c>
      <c r="G15" s="6" t="n">
        <v>5</v>
      </c>
      <c r="H15" s="6" t="n">
        <v>2</v>
      </c>
      <c r="I15" s="6" t="n">
        <v>0</v>
      </c>
      <c r="J15" s="6" t="n">
        <v>0</v>
      </c>
      <c r="K15" s="6" t="n">
        <v>1</v>
      </c>
      <c r="L15" s="6" t="n">
        <v>6</v>
      </c>
      <c r="M15" s="7" t="n">
        <f aca="false">SUM(C15:L15)</f>
        <v>127</v>
      </c>
      <c r="N15" s="8" t="s">
        <v>17</v>
      </c>
    </row>
    <row r="16" customFormat="false" ht="15" hidden="false" customHeight="false" outlineLevel="0" collapsed="false">
      <c r="A16" s="9" t="n">
        <v>12</v>
      </c>
      <c r="B16" s="10" t="s">
        <v>30</v>
      </c>
      <c r="C16" s="11" t="n">
        <v>60</v>
      </c>
      <c r="D16" s="11" t="n">
        <v>40</v>
      </c>
      <c r="E16" s="11" t="n">
        <v>35</v>
      </c>
      <c r="F16" s="11" t="n">
        <v>10</v>
      </c>
      <c r="G16" s="11" t="n">
        <v>6</v>
      </c>
      <c r="H16" s="11" t="n">
        <v>4</v>
      </c>
      <c r="I16" s="11" t="n">
        <v>0</v>
      </c>
      <c r="J16" s="11" t="n">
        <v>0</v>
      </c>
      <c r="K16" s="11" t="n">
        <v>0</v>
      </c>
      <c r="L16" s="11" t="n">
        <v>8</v>
      </c>
      <c r="M16" s="12" t="n">
        <f aca="false">SUM(C16:L16)</f>
        <v>163</v>
      </c>
      <c r="N16" s="13" t="s">
        <v>17</v>
      </c>
    </row>
    <row r="17" customFormat="false" ht="15" hidden="false" customHeight="false" outlineLevel="0" collapsed="false">
      <c r="A17" s="4" t="n">
        <v>13</v>
      </c>
      <c r="B17" s="5" t="s">
        <v>31</v>
      </c>
      <c r="C17" s="6" t="n">
        <v>25</v>
      </c>
      <c r="D17" s="6" t="n">
        <v>15</v>
      </c>
      <c r="E17" s="6" t="n">
        <v>40</v>
      </c>
      <c r="F17" s="6" t="n">
        <v>4</v>
      </c>
      <c r="G17" s="6" t="n">
        <v>2</v>
      </c>
      <c r="H17" s="6" t="n">
        <v>2</v>
      </c>
      <c r="I17" s="6" t="n">
        <v>0</v>
      </c>
      <c r="J17" s="6" t="n">
        <v>0</v>
      </c>
      <c r="K17" s="6" t="n">
        <v>0</v>
      </c>
      <c r="L17" s="6" t="n">
        <v>6</v>
      </c>
      <c r="M17" s="7" t="n">
        <f aca="false">SUM(C17:L17)</f>
        <v>94</v>
      </c>
      <c r="N17" s="8" t="s">
        <v>17</v>
      </c>
    </row>
    <row r="18" customFormat="false" ht="15" hidden="false" customHeight="false" outlineLevel="0" collapsed="false">
      <c r="A18" s="9" t="n">
        <v>14</v>
      </c>
      <c r="B18" s="10" t="s">
        <v>32</v>
      </c>
      <c r="C18" s="11" t="n">
        <v>45</v>
      </c>
      <c r="D18" s="11" t="n">
        <v>30</v>
      </c>
      <c r="E18" s="11" t="n">
        <v>55</v>
      </c>
      <c r="F18" s="11" t="n">
        <v>8</v>
      </c>
      <c r="G18" s="11" t="n">
        <v>6</v>
      </c>
      <c r="H18" s="11" t="n">
        <v>10</v>
      </c>
      <c r="I18" s="11" t="n">
        <v>2</v>
      </c>
      <c r="J18" s="11" t="n">
        <v>0</v>
      </c>
      <c r="K18" s="11" t="n">
        <v>1</v>
      </c>
      <c r="L18" s="11" t="n">
        <v>5</v>
      </c>
      <c r="M18" s="12" t="n">
        <f aca="false">SUM(C18:L18)</f>
        <v>162</v>
      </c>
      <c r="N18" s="13" t="s">
        <v>17</v>
      </c>
    </row>
    <row r="19" customFormat="false" ht="15" hidden="false" customHeight="false" outlineLevel="0" collapsed="false">
      <c r="A19" s="4" t="n">
        <v>15</v>
      </c>
      <c r="B19" s="5" t="s">
        <v>33</v>
      </c>
      <c r="C19" s="6" t="n">
        <v>20</v>
      </c>
      <c r="D19" s="6" t="n">
        <v>15</v>
      </c>
      <c r="E19" s="6" t="n">
        <v>18</v>
      </c>
      <c r="F19" s="6" t="n">
        <v>6</v>
      </c>
      <c r="G19" s="6" t="n">
        <v>4</v>
      </c>
      <c r="H19" s="6" t="n">
        <v>3</v>
      </c>
      <c r="I19" s="6" t="n">
        <v>2</v>
      </c>
      <c r="J19" s="6" t="n">
        <v>2</v>
      </c>
      <c r="K19" s="6" t="n">
        <v>1</v>
      </c>
      <c r="L19" s="6" t="n">
        <v>3</v>
      </c>
      <c r="M19" s="7" t="n">
        <f aca="false">SUM(C19:L19)</f>
        <v>74</v>
      </c>
      <c r="N19" s="8" t="s">
        <v>17</v>
      </c>
    </row>
    <row r="20" customFormat="false" ht="15" hidden="false" customHeight="false" outlineLevel="0" collapsed="false">
      <c r="A20" s="9" t="n">
        <v>16</v>
      </c>
      <c r="B20" s="10" t="s">
        <v>34</v>
      </c>
      <c r="C20" s="11" t="n">
        <v>80</v>
      </c>
      <c r="D20" s="11" t="n">
        <v>60</v>
      </c>
      <c r="E20" s="11" t="n">
        <v>50</v>
      </c>
      <c r="F20" s="11" t="n">
        <v>10</v>
      </c>
      <c r="G20" s="11" t="n">
        <v>5</v>
      </c>
      <c r="H20" s="11" t="n">
        <v>4</v>
      </c>
      <c r="I20" s="11" t="n">
        <v>6</v>
      </c>
      <c r="J20" s="11" t="n">
        <v>3</v>
      </c>
      <c r="K20" s="11" t="n">
        <v>4</v>
      </c>
      <c r="L20" s="11" t="n">
        <v>8</v>
      </c>
      <c r="M20" s="12" t="n">
        <f aca="false">SUM(C20:L20)</f>
        <v>230</v>
      </c>
      <c r="N20" s="13" t="s">
        <v>17</v>
      </c>
    </row>
    <row r="21" customFormat="false" ht="15" hidden="false" customHeight="false" outlineLevel="0" collapsed="false">
      <c r="A21" s="4" t="n">
        <v>17</v>
      </c>
      <c r="B21" s="5" t="s">
        <v>35</v>
      </c>
      <c r="C21" s="6" t="n">
        <v>70</v>
      </c>
      <c r="D21" s="6" t="n">
        <v>55</v>
      </c>
      <c r="E21" s="6" t="n">
        <v>45</v>
      </c>
      <c r="F21" s="6" t="n">
        <v>8</v>
      </c>
      <c r="G21" s="6" t="n">
        <v>4</v>
      </c>
      <c r="H21" s="6" t="n">
        <v>3</v>
      </c>
      <c r="I21" s="6" t="n">
        <v>5</v>
      </c>
      <c r="J21" s="6" t="n">
        <v>2</v>
      </c>
      <c r="K21" s="6" t="n">
        <v>3</v>
      </c>
      <c r="L21" s="6" t="n">
        <v>6</v>
      </c>
      <c r="M21" s="7" t="n">
        <f aca="false">SUM(C21:L21)</f>
        <v>201</v>
      </c>
      <c r="N21" s="8" t="s">
        <v>17</v>
      </c>
    </row>
    <row r="22" customFormat="false" ht="15" hidden="false" customHeight="false" outlineLevel="0" collapsed="false">
      <c r="A22" s="9" t="n">
        <v>18</v>
      </c>
      <c r="B22" s="10" t="s">
        <v>36</v>
      </c>
      <c r="C22" s="11" t="n">
        <v>25</v>
      </c>
      <c r="D22" s="11" t="n">
        <v>18</v>
      </c>
      <c r="E22" s="11" t="n">
        <v>20</v>
      </c>
      <c r="F22" s="11" t="n">
        <v>4</v>
      </c>
      <c r="G22" s="11" t="n">
        <v>2</v>
      </c>
      <c r="H22" s="11" t="n">
        <v>2</v>
      </c>
      <c r="I22" s="11" t="n">
        <v>2</v>
      </c>
      <c r="J22" s="11" t="n">
        <v>1</v>
      </c>
      <c r="K22" s="11" t="n">
        <v>2</v>
      </c>
      <c r="L22" s="11" t="n">
        <v>4</v>
      </c>
      <c r="M22" s="12" t="n">
        <f aca="false">SUM(C22:L22)</f>
        <v>80</v>
      </c>
      <c r="N22" s="13" t="s">
        <v>17</v>
      </c>
    </row>
    <row r="23" customFormat="false" ht="15" hidden="false" customHeight="false" outlineLevel="0" collapsed="false">
      <c r="A23" s="4" t="n">
        <v>19</v>
      </c>
      <c r="B23" s="5" t="s">
        <v>37</v>
      </c>
      <c r="C23" s="6" t="n">
        <v>15</v>
      </c>
      <c r="D23" s="6" t="n">
        <v>10</v>
      </c>
      <c r="E23" s="6" t="n">
        <v>12</v>
      </c>
      <c r="F23" s="6" t="n">
        <v>3</v>
      </c>
      <c r="G23" s="6" t="n">
        <v>2</v>
      </c>
      <c r="H23" s="6" t="n">
        <v>2</v>
      </c>
      <c r="I23" s="6" t="n">
        <v>1</v>
      </c>
      <c r="J23" s="6" t="n">
        <v>1</v>
      </c>
      <c r="K23" s="6" t="n">
        <v>2</v>
      </c>
      <c r="L23" s="6" t="n">
        <v>3</v>
      </c>
      <c r="M23" s="7" t="n">
        <f aca="false">SUM(C23:L23)</f>
        <v>51</v>
      </c>
      <c r="N23" s="8" t="s">
        <v>17</v>
      </c>
    </row>
    <row r="24" customFormat="false" ht="15" hidden="false" customHeight="false" outlineLevel="0" collapsed="false">
      <c r="A24" s="9" t="n">
        <v>20</v>
      </c>
      <c r="B24" s="10" t="s">
        <v>38</v>
      </c>
      <c r="C24" s="11" t="n">
        <v>8</v>
      </c>
      <c r="D24" s="11" t="n">
        <v>6</v>
      </c>
      <c r="E24" s="11" t="n">
        <v>10</v>
      </c>
      <c r="F24" s="11" t="n">
        <v>2</v>
      </c>
      <c r="G24" s="11" t="n">
        <v>1</v>
      </c>
      <c r="H24" s="11" t="n">
        <v>1</v>
      </c>
      <c r="I24" s="11" t="n">
        <v>0</v>
      </c>
      <c r="J24" s="11" t="n">
        <v>0</v>
      </c>
      <c r="K24" s="11" t="n">
        <v>1</v>
      </c>
      <c r="L24" s="11" t="n">
        <v>1</v>
      </c>
      <c r="M24" s="12" t="n">
        <f aca="false">SUM(C24:L24)</f>
        <v>30</v>
      </c>
      <c r="N24" s="13" t="s">
        <v>17</v>
      </c>
    </row>
    <row r="25" customFormat="false" ht="15" hidden="false" customHeight="false" outlineLevel="0" collapsed="false">
      <c r="A25" s="4" t="n">
        <v>21</v>
      </c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7" t="n">
        <f aca="false">SUM(C25:L25)</f>
        <v>0</v>
      </c>
      <c r="N25" s="14"/>
    </row>
    <row r="26" customFormat="false" ht="15" hidden="false" customHeight="false" outlineLevel="0" collapsed="false">
      <c r="A26" s="9" t="n">
        <v>22</v>
      </c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2" t="n">
        <f aca="false">SUM(C26:L26)</f>
        <v>0</v>
      </c>
      <c r="N26" s="16"/>
    </row>
    <row r="27" customFormat="false" ht="15" hidden="false" customHeight="false" outlineLevel="0" collapsed="false">
      <c r="A27" s="4" t="n">
        <v>23</v>
      </c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7" t="n">
        <f aca="false">SUM(C27:L27)</f>
        <v>0</v>
      </c>
      <c r="N27" s="14"/>
    </row>
    <row r="28" customFormat="false" ht="15" hidden="false" customHeight="false" outlineLevel="0" collapsed="false">
      <c r="A28" s="9" t="n">
        <v>24</v>
      </c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2" t="n">
        <f aca="false">SUM(C28:L28)</f>
        <v>0</v>
      </c>
      <c r="N28" s="16"/>
    </row>
    <row r="29" customFormat="false" ht="15" hidden="false" customHeight="false" outlineLevel="0" collapsed="false">
      <c r="A29" s="4" t="n">
        <v>25</v>
      </c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7" t="n">
        <f aca="false">SUM(C29:L29)</f>
        <v>0</v>
      </c>
      <c r="N29" s="14"/>
    </row>
    <row r="30" customFormat="false" ht="15" hidden="false" customHeight="false" outlineLevel="0" collapsed="false">
      <c r="A30" s="9" t="n">
        <v>26</v>
      </c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2" t="n">
        <f aca="false">SUM(C30:L30)</f>
        <v>0</v>
      </c>
      <c r="N30" s="16"/>
    </row>
    <row r="31" customFormat="false" ht="15" hidden="false" customHeight="false" outlineLevel="0" collapsed="false">
      <c r="A31" s="4" t="n">
        <v>27</v>
      </c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7" t="n">
        <f aca="false">SUM(C31:L31)</f>
        <v>0</v>
      </c>
      <c r="N31" s="14"/>
    </row>
    <row r="32" customFormat="false" ht="15" hidden="false" customHeight="false" outlineLevel="0" collapsed="false">
      <c r="A32" s="9" t="n">
        <v>28</v>
      </c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2" t="n">
        <f aca="false">SUM(C32:L32)</f>
        <v>0</v>
      </c>
      <c r="N32" s="16"/>
    </row>
    <row r="33" customFormat="false" ht="15" hidden="false" customHeight="false" outlineLevel="0" collapsed="false">
      <c r="A33" s="4" t="n">
        <v>29</v>
      </c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7" t="n">
        <f aca="false">SUM(C33:L33)</f>
        <v>0</v>
      </c>
      <c r="N33" s="14"/>
    </row>
    <row r="34" customFormat="false" ht="15" hidden="false" customHeight="false" outlineLevel="0" collapsed="false">
      <c r="A34" s="9" t="n">
        <v>30</v>
      </c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2" t="n">
        <f aca="false">SUM(C34:L34)</f>
        <v>0</v>
      </c>
      <c r="N34" s="16"/>
    </row>
    <row r="35" customFormat="false" ht="30" hidden="false" customHeight="true" outlineLevel="0" collapsed="false">
      <c r="A35" s="18"/>
      <c r="B35" s="3" t="s">
        <v>39</v>
      </c>
      <c r="C35" s="19" t="n">
        <f aca="false">SUM(C5:C34)</f>
        <v>1568</v>
      </c>
      <c r="D35" s="19" t="n">
        <f aca="false">SUM(D5:D34)</f>
        <v>1129</v>
      </c>
      <c r="E35" s="19" t="n">
        <f aca="false">SUM(E5:E34)</f>
        <v>980</v>
      </c>
      <c r="F35" s="19" t="n">
        <f aca="false">SUM(F5:F34)</f>
        <v>203</v>
      </c>
      <c r="G35" s="19" t="n">
        <f aca="false">SUM(G5:G34)</f>
        <v>108</v>
      </c>
      <c r="H35" s="19" t="n">
        <f aca="false">SUM(H5:H34)</f>
        <v>94</v>
      </c>
      <c r="I35" s="19" t="n">
        <f aca="false">SUM(I5:I34)</f>
        <v>63</v>
      </c>
      <c r="J35" s="19" t="n">
        <f aca="false">SUM(J5:J34)</f>
        <v>31</v>
      </c>
      <c r="K35" s="19" t="n">
        <f aca="false">SUM(K5:K34)</f>
        <v>32</v>
      </c>
      <c r="L35" s="19" t="n">
        <f aca="false">SUM(L5:L34)</f>
        <v>145</v>
      </c>
      <c r="M35" s="19" t="n">
        <f aca="false">SUM(M5:M34)</f>
        <v>4353</v>
      </c>
      <c r="N35" s="18"/>
    </row>
    <row r="36" customFormat="false" ht="15" hidden="false" customHeight="false" outlineLevel="0" collapsed="false">
      <c r="A36" s="20"/>
      <c r="B36" s="21" t="s">
        <v>40</v>
      </c>
      <c r="C36" s="22" t="n">
        <f aca="false">IF(M35&gt;0,C35/M35*100,0)</f>
        <v>36.0211348495291</v>
      </c>
      <c r="D36" s="22" t="n">
        <f aca="false">IF(M35&gt;0,D35/M35*100,0)</f>
        <v>25.9361359981622</v>
      </c>
      <c r="E36" s="22" t="n">
        <f aca="false">IF(M35&gt;0,E35/M35*100,0)</f>
        <v>22.5132092809557</v>
      </c>
      <c r="F36" s="22" t="n">
        <f aca="false">IF(M35&gt;0,F35/M35*100,0)</f>
        <v>4.66345049391224</v>
      </c>
      <c r="G36" s="22" t="n">
        <f aca="false">IF(M35&gt;0,G35/M35*100,0)</f>
        <v>2.48104755341144</v>
      </c>
      <c r="H36" s="22" t="n">
        <f aca="false">IF(M35&gt;0,H35/M35*100,0)</f>
        <v>2.15943027796922</v>
      </c>
      <c r="I36" s="22" t="n">
        <f aca="false">IF(M35&gt;0,I35/M35*100,0)</f>
        <v>1.44727773949001</v>
      </c>
      <c r="J36" s="22" t="n">
        <f aca="false">IF(M35&gt;0,J35/M35*100,0)</f>
        <v>0.71215253847921</v>
      </c>
      <c r="K36" s="22" t="n">
        <f aca="false">IF(M35&gt;0,K35/M35*100,0)</f>
        <v>0.735125201010797</v>
      </c>
      <c r="L36" s="22" t="n">
        <f aca="false">IF(M35&gt;0,L35/M35*100,0)</f>
        <v>3.33103606708017</v>
      </c>
      <c r="M36" s="23" t="s">
        <v>41</v>
      </c>
      <c r="N36" s="20"/>
    </row>
  </sheetData>
  <mergeCells count="2">
    <mergeCell ref="A1:N1"/>
    <mergeCell ref="A2:N2"/>
  </mergeCells>
  <conditionalFormatting sqref="M5:M34">
    <cfRule type="dataBar" priority="2">
      <dataBar showValue="1" minLength="10" maxLength="90">
        <cfvo type="min" val="0"/>
        <cfvo type="max" val="0"/>
        <color rgb="FF2196F3"/>
      </dataBar>
      <extLst>
        <ext xmlns:x14="http://schemas.microsoft.com/office/spreadsheetml/2009/9/main" uri="{B025F937-C7B1-47D3-B67F-A62EFF666E3E}">
          <x14:id>{B06A82B0-3450-44F1-888D-2D70507117E4}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6A82B0-3450-44F1-888D-2D70507117E4}">
            <x14:dataBar minLength="10" maxLength="90" axisPosition="none" gradient="true">
              <x14:cfvo type="min"/>
              <x14:cfvo type="max"/>
              <x14:negativeFillColor rgb="FF2196F3"/>
              <x14:axisColor rgb="FF000000"/>
            </x14:dataBar>
          </x14:cfRule>
          <xm:sqref>M5:M34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F00"/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6" min="4" style="0" width="18"/>
    <col collapsed="false" customWidth="true" hidden="false" outlineLevel="0" max="9" min="7" style="0" width="20"/>
    <col collapsed="false" customWidth="true" hidden="false" outlineLevel="0" max="10" min="10" style="0" width="18"/>
    <col collapsed="false" customWidth="true" hidden="false" outlineLevel="0" max="12" min="11" style="0" width="20"/>
  </cols>
  <sheetData>
    <row r="1" customFormat="false" ht="37.5" hidden="false" customHeight="true" outlineLevel="0" collapsed="false">
      <c r="A1" s="24" t="s">
        <v>42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customFormat="false" ht="25.5" hidden="false" customHeight="true" outlineLevel="0" collapsed="false">
      <c r="A2" s="25" t="s">
        <v>43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4" customFormat="false" ht="36" hidden="false" customHeight="true" outlineLevel="0" collapsed="false">
      <c r="A4" s="26" t="s">
        <v>2</v>
      </c>
      <c r="B4" s="26" t="s">
        <v>44</v>
      </c>
      <c r="C4" s="26" t="s">
        <v>45</v>
      </c>
      <c r="D4" s="26" t="s">
        <v>46</v>
      </c>
      <c r="E4" s="26" t="s">
        <v>47</v>
      </c>
      <c r="F4" s="26" t="s">
        <v>48</v>
      </c>
      <c r="G4" s="26" t="s">
        <v>49</v>
      </c>
      <c r="H4" s="26" t="s">
        <v>50</v>
      </c>
      <c r="I4" s="26" t="s">
        <v>51</v>
      </c>
      <c r="J4" s="26" t="s">
        <v>52</v>
      </c>
      <c r="K4" s="26" t="s">
        <v>53</v>
      </c>
      <c r="L4" s="26" t="s">
        <v>54</v>
      </c>
    </row>
    <row r="5" customFormat="false" ht="15" hidden="false" customHeight="false" outlineLevel="0" collapsed="false">
      <c r="A5" s="4" t="n">
        <v>1</v>
      </c>
      <c r="B5" s="5" t="s">
        <v>4</v>
      </c>
      <c r="C5" s="27" t="n">
        <f aca="false">'1. Master Inventory'!C35</f>
        <v>1568</v>
      </c>
      <c r="D5" s="15" t="n">
        <v>40</v>
      </c>
      <c r="E5" s="28" t="n">
        <f aca="false">C5*D5/1000</f>
        <v>62.72</v>
      </c>
      <c r="F5" s="15" t="n">
        <v>10</v>
      </c>
      <c r="G5" s="28" t="n">
        <f aca="false">E5*F5</f>
        <v>627.2</v>
      </c>
      <c r="H5" s="7" t="n">
        <f aca="false">G5*30</f>
        <v>18816</v>
      </c>
      <c r="I5" s="7" t="n">
        <f aca="false">G5*365</f>
        <v>228928</v>
      </c>
      <c r="J5" s="29" t="n">
        <v>8.5</v>
      </c>
      <c r="K5" s="30" t="n">
        <f aca="false">H5*J5</f>
        <v>159936</v>
      </c>
      <c r="L5" s="30" t="n">
        <f aca="false">I5*J5</f>
        <v>1945888</v>
      </c>
    </row>
    <row r="6" customFormat="false" ht="15" hidden="false" customHeight="false" outlineLevel="0" collapsed="false">
      <c r="A6" s="9" t="n">
        <v>2</v>
      </c>
      <c r="B6" s="10" t="s">
        <v>5</v>
      </c>
      <c r="C6" s="31" t="n">
        <f aca="false">'1. Master Inventory'!D35</f>
        <v>1129</v>
      </c>
      <c r="D6" s="17" t="n">
        <v>75</v>
      </c>
      <c r="E6" s="32" t="n">
        <f aca="false">C6*D6/1000</f>
        <v>84.675</v>
      </c>
      <c r="F6" s="17" t="n">
        <v>12</v>
      </c>
      <c r="G6" s="32" t="n">
        <f aca="false">E6*F6</f>
        <v>1016.1</v>
      </c>
      <c r="H6" s="12" t="n">
        <f aca="false">G6*30</f>
        <v>30483</v>
      </c>
      <c r="I6" s="12" t="n">
        <f aca="false">G6*365</f>
        <v>370876.5</v>
      </c>
      <c r="J6" s="33" t="n">
        <v>8.5</v>
      </c>
      <c r="K6" s="34" t="n">
        <f aca="false">H6*J6</f>
        <v>259105.5</v>
      </c>
      <c r="L6" s="34" t="n">
        <f aca="false">I6*J6</f>
        <v>3152450.25</v>
      </c>
    </row>
    <row r="7" customFormat="false" ht="15" hidden="false" customHeight="false" outlineLevel="0" collapsed="false">
      <c r="A7" s="4" t="n">
        <v>3</v>
      </c>
      <c r="B7" s="5" t="s">
        <v>6</v>
      </c>
      <c r="C7" s="27" t="n">
        <f aca="false">'1. Master Inventory'!E35</f>
        <v>980</v>
      </c>
      <c r="D7" s="15" t="n">
        <v>15</v>
      </c>
      <c r="E7" s="28" t="n">
        <f aca="false">C7*D7/1000</f>
        <v>14.7</v>
      </c>
      <c r="F7" s="15" t="n">
        <v>10</v>
      </c>
      <c r="G7" s="28" t="n">
        <f aca="false">E7*F7</f>
        <v>147</v>
      </c>
      <c r="H7" s="7" t="n">
        <f aca="false">G7*30</f>
        <v>4410</v>
      </c>
      <c r="I7" s="7" t="n">
        <f aca="false">G7*365</f>
        <v>53655</v>
      </c>
      <c r="J7" s="29" t="n">
        <v>8.5</v>
      </c>
      <c r="K7" s="30" t="n">
        <f aca="false">H7*J7</f>
        <v>37485</v>
      </c>
      <c r="L7" s="30" t="n">
        <f aca="false">I7*J7</f>
        <v>456067.5</v>
      </c>
    </row>
    <row r="8" customFormat="false" ht="15" hidden="false" customHeight="false" outlineLevel="0" collapsed="false">
      <c r="A8" s="9" t="n">
        <v>4</v>
      </c>
      <c r="B8" s="10" t="s">
        <v>7</v>
      </c>
      <c r="C8" s="31" t="n">
        <f aca="false">'1. Master Inventory'!F35</f>
        <v>203</v>
      </c>
      <c r="D8" s="17" t="n">
        <v>50</v>
      </c>
      <c r="E8" s="32" t="n">
        <f aca="false">C8*D8/1000</f>
        <v>10.15</v>
      </c>
      <c r="F8" s="17" t="n">
        <v>10</v>
      </c>
      <c r="G8" s="32" t="n">
        <f aca="false">E8*F8</f>
        <v>101.5</v>
      </c>
      <c r="H8" s="12" t="n">
        <f aca="false">G8*30</f>
        <v>3045</v>
      </c>
      <c r="I8" s="12" t="n">
        <f aca="false">G8*365</f>
        <v>37047.5</v>
      </c>
      <c r="J8" s="33" t="n">
        <v>8.5</v>
      </c>
      <c r="K8" s="34" t="n">
        <f aca="false">H8*J8</f>
        <v>25882.5</v>
      </c>
      <c r="L8" s="34" t="n">
        <f aca="false">I8*J8</f>
        <v>314903.75</v>
      </c>
    </row>
    <row r="9" customFormat="false" ht="15" hidden="false" customHeight="false" outlineLevel="0" collapsed="false">
      <c r="A9" s="4" t="n">
        <v>5</v>
      </c>
      <c r="B9" s="5" t="s">
        <v>8</v>
      </c>
      <c r="C9" s="27" t="n">
        <f aca="false">'1. Master Inventory'!G35</f>
        <v>108</v>
      </c>
      <c r="D9" s="15" t="n">
        <v>55</v>
      </c>
      <c r="E9" s="28" t="n">
        <f aca="false">C9*D9/1000</f>
        <v>5.94</v>
      </c>
      <c r="F9" s="15" t="n">
        <v>8</v>
      </c>
      <c r="G9" s="28" t="n">
        <f aca="false">E9*F9</f>
        <v>47.52</v>
      </c>
      <c r="H9" s="7" t="n">
        <f aca="false">G9*30</f>
        <v>1425.6</v>
      </c>
      <c r="I9" s="7" t="n">
        <f aca="false">G9*365</f>
        <v>17344.8</v>
      </c>
      <c r="J9" s="29" t="n">
        <v>8.5</v>
      </c>
      <c r="K9" s="30" t="n">
        <f aca="false">H9*J9</f>
        <v>12117.6</v>
      </c>
      <c r="L9" s="30" t="n">
        <f aca="false">I9*J9</f>
        <v>147430.8</v>
      </c>
    </row>
    <row r="10" customFormat="false" ht="15" hidden="false" customHeight="false" outlineLevel="0" collapsed="false">
      <c r="A10" s="9" t="n">
        <v>6</v>
      </c>
      <c r="B10" s="10" t="s">
        <v>9</v>
      </c>
      <c r="C10" s="31" t="n">
        <f aca="false">'1. Master Inventory'!H35</f>
        <v>94</v>
      </c>
      <c r="D10" s="17" t="n">
        <v>30</v>
      </c>
      <c r="E10" s="32" t="n">
        <f aca="false">C10*D10/1000</f>
        <v>2.82</v>
      </c>
      <c r="F10" s="17" t="n">
        <v>8</v>
      </c>
      <c r="G10" s="32" t="n">
        <f aca="false">E10*F10</f>
        <v>22.56</v>
      </c>
      <c r="H10" s="12" t="n">
        <f aca="false">G10*30</f>
        <v>676.8</v>
      </c>
      <c r="I10" s="12" t="n">
        <f aca="false">G10*365</f>
        <v>8234.4</v>
      </c>
      <c r="J10" s="33" t="n">
        <v>8.5</v>
      </c>
      <c r="K10" s="34" t="n">
        <f aca="false">H10*J10</f>
        <v>5752.8</v>
      </c>
      <c r="L10" s="34" t="n">
        <f aca="false">I10*J10</f>
        <v>69992.4</v>
      </c>
    </row>
    <row r="11" customFormat="false" ht="15" hidden="false" customHeight="false" outlineLevel="0" collapsed="false">
      <c r="A11" s="4" t="n">
        <v>7</v>
      </c>
      <c r="B11" s="5" t="s">
        <v>10</v>
      </c>
      <c r="C11" s="27" t="n">
        <f aca="false">'1. Master Inventory'!I35</f>
        <v>63</v>
      </c>
      <c r="D11" s="15" t="n">
        <v>1500</v>
      </c>
      <c r="E11" s="28" t="n">
        <f aca="false">C11*D11/1000</f>
        <v>94.5</v>
      </c>
      <c r="F11" s="15" t="n">
        <v>4</v>
      </c>
      <c r="G11" s="28" t="n">
        <f aca="false">E11*F11</f>
        <v>378</v>
      </c>
      <c r="H11" s="7" t="n">
        <f aca="false">G11*30</f>
        <v>11340</v>
      </c>
      <c r="I11" s="7" t="n">
        <f aca="false">G11*365</f>
        <v>137970</v>
      </c>
      <c r="J11" s="29" t="n">
        <v>8.5</v>
      </c>
      <c r="K11" s="30" t="n">
        <f aca="false">H11*J11</f>
        <v>96390</v>
      </c>
      <c r="L11" s="30" t="n">
        <f aca="false">I11*J11</f>
        <v>1172745</v>
      </c>
    </row>
    <row r="12" customFormat="false" ht="15" hidden="false" customHeight="false" outlineLevel="0" collapsed="false">
      <c r="A12" s="9" t="n">
        <v>8</v>
      </c>
      <c r="B12" s="10" t="s">
        <v>11</v>
      </c>
      <c r="C12" s="31" t="n">
        <f aca="false">'1. Master Inventory'!J35</f>
        <v>31</v>
      </c>
      <c r="D12" s="17" t="n">
        <v>200</v>
      </c>
      <c r="E12" s="32" t="n">
        <f aca="false">C12*D12/1000</f>
        <v>6.2</v>
      </c>
      <c r="F12" s="17" t="n">
        <v>10</v>
      </c>
      <c r="G12" s="32" t="n">
        <f aca="false">E12*F12</f>
        <v>62</v>
      </c>
      <c r="H12" s="12" t="n">
        <f aca="false">G12*30</f>
        <v>1860</v>
      </c>
      <c r="I12" s="12" t="n">
        <f aca="false">G12*365</f>
        <v>22630</v>
      </c>
      <c r="J12" s="33" t="n">
        <v>8.5</v>
      </c>
      <c r="K12" s="34" t="n">
        <f aca="false">H12*J12</f>
        <v>15810</v>
      </c>
      <c r="L12" s="34" t="n">
        <f aca="false">I12*J12</f>
        <v>192355</v>
      </c>
    </row>
    <row r="13" customFormat="false" ht="15" hidden="false" customHeight="false" outlineLevel="0" collapsed="false">
      <c r="A13" s="4" t="n">
        <v>9</v>
      </c>
      <c r="B13" s="5" t="s">
        <v>12</v>
      </c>
      <c r="C13" s="27" t="n">
        <f aca="false">'1. Master Inventory'!K35</f>
        <v>32</v>
      </c>
      <c r="D13" s="15" t="n">
        <v>150</v>
      </c>
      <c r="E13" s="28" t="n">
        <f aca="false">C13*D13/1000</f>
        <v>4.8</v>
      </c>
      <c r="F13" s="15" t="n">
        <v>24</v>
      </c>
      <c r="G13" s="28" t="n">
        <f aca="false">E13*F13</f>
        <v>115.2</v>
      </c>
      <c r="H13" s="7" t="n">
        <f aca="false">G13*30</f>
        <v>3456</v>
      </c>
      <c r="I13" s="7" t="n">
        <f aca="false">G13*365</f>
        <v>42048</v>
      </c>
      <c r="J13" s="29" t="n">
        <v>8.5</v>
      </c>
      <c r="K13" s="30" t="n">
        <f aca="false">H13*J13</f>
        <v>29376</v>
      </c>
      <c r="L13" s="30" t="n">
        <f aca="false">I13*J13</f>
        <v>357408</v>
      </c>
    </row>
    <row r="14" customFormat="false" ht="15" hidden="false" customHeight="false" outlineLevel="0" collapsed="false">
      <c r="A14" s="9" t="n">
        <v>10</v>
      </c>
      <c r="B14" s="10" t="s">
        <v>13</v>
      </c>
      <c r="C14" s="31" t="n">
        <f aca="false">'1. Master Inventory'!L35</f>
        <v>145</v>
      </c>
      <c r="D14" s="17" t="n">
        <v>1500</v>
      </c>
      <c r="E14" s="32" t="n">
        <f aca="false">C14*D14/1000</f>
        <v>217.5</v>
      </c>
      <c r="F14" s="17" t="n">
        <v>10</v>
      </c>
      <c r="G14" s="32" t="n">
        <f aca="false">E14*F14</f>
        <v>2175</v>
      </c>
      <c r="H14" s="12" t="n">
        <f aca="false">G14*30</f>
        <v>65250</v>
      </c>
      <c r="I14" s="12" t="n">
        <f aca="false">G14*365</f>
        <v>793875</v>
      </c>
      <c r="J14" s="33" t="n">
        <v>8.5</v>
      </c>
      <c r="K14" s="34" t="n">
        <f aca="false">H14*J14</f>
        <v>554625</v>
      </c>
      <c r="L14" s="34" t="n">
        <f aca="false">I14*J14</f>
        <v>6747937.5</v>
      </c>
    </row>
    <row r="15" customFormat="false" ht="30" hidden="false" customHeight="true" outlineLevel="0" collapsed="false">
      <c r="A15" s="35"/>
      <c r="B15" s="26" t="s">
        <v>39</v>
      </c>
      <c r="C15" s="36" t="n">
        <f aca="false">SUM(C5:C14)</f>
        <v>4353</v>
      </c>
      <c r="D15" s="35"/>
      <c r="E15" s="36" t="n">
        <f aca="false">SUM(E5:E14)</f>
        <v>504.005</v>
      </c>
      <c r="F15" s="35"/>
      <c r="G15" s="36" t="n">
        <f aca="false">SUM(G5:G14)</f>
        <v>4692.08</v>
      </c>
      <c r="H15" s="36" t="n">
        <f aca="false">SUM(H5:H14)</f>
        <v>140762.4</v>
      </c>
      <c r="I15" s="36" t="n">
        <f aca="false">SUM(I5:I14)</f>
        <v>1712609.2</v>
      </c>
      <c r="J15" s="35"/>
      <c r="K15" s="37" t="n">
        <f aca="false">SUM(K5:K14)</f>
        <v>1196480.4</v>
      </c>
      <c r="L15" s="37" t="n">
        <f aca="false">SUM(L5:L14)</f>
        <v>14557178.2</v>
      </c>
    </row>
    <row r="17" customFormat="false" ht="25.5" hidden="false" customHeight="true" outlineLevel="0" collapsed="false">
      <c r="A17" s="2" t="s">
        <v>55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5" hidden="false" customHeight="true" outlineLevel="0" collapsed="false">
      <c r="A18" s="38" t="s">
        <v>56</v>
      </c>
      <c r="B18" s="38"/>
      <c r="C18" s="38"/>
      <c r="D18" s="38"/>
      <c r="E18" s="38"/>
      <c r="F18" s="38"/>
      <c r="G18" s="39" t="n">
        <f aca="false">E15</f>
        <v>504.005</v>
      </c>
      <c r="H18" s="39"/>
      <c r="I18" s="39"/>
      <c r="J18" s="40"/>
      <c r="K18" s="40"/>
      <c r="L18" s="40"/>
    </row>
    <row r="19" customFormat="false" ht="15" hidden="false" customHeight="true" outlineLevel="0" collapsed="false">
      <c r="A19" s="38" t="s">
        <v>57</v>
      </c>
      <c r="B19" s="38"/>
      <c r="C19" s="38"/>
      <c r="D19" s="38"/>
      <c r="E19" s="38"/>
      <c r="F19" s="38"/>
      <c r="G19" s="41" t="n">
        <f aca="false">G15</f>
        <v>4692.08</v>
      </c>
      <c r="H19" s="41"/>
      <c r="I19" s="41"/>
      <c r="J19" s="40"/>
      <c r="K19" s="40"/>
      <c r="L19" s="40"/>
    </row>
    <row r="20" customFormat="false" ht="15" hidden="false" customHeight="true" outlineLevel="0" collapsed="false">
      <c r="A20" s="38" t="s">
        <v>58</v>
      </c>
      <c r="B20" s="38"/>
      <c r="C20" s="38"/>
      <c r="D20" s="38"/>
      <c r="E20" s="38"/>
      <c r="F20" s="38"/>
      <c r="G20" s="41" t="n">
        <f aca="false">H15</f>
        <v>140762.4</v>
      </c>
      <c r="H20" s="41"/>
      <c r="I20" s="41"/>
      <c r="J20" s="40"/>
      <c r="K20" s="40"/>
      <c r="L20" s="40"/>
    </row>
    <row r="21" customFormat="false" ht="15" hidden="false" customHeight="true" outlineLevel="0" collapsed="false">
      <c r="A21" s="38" t="s">
        <v>59</v>
      </c>
      <c r="B21" s="38"/>
      <c r="C21" s="38"/>
      <c r="D21" s="38"/>
      <c r="E21" s="38"/>
      <c r="F21" s="38"/>
      <c r="G21" s="41" t="n">
        <f aca="false">I15</f>
        <v>1712609.2</v>
      </c>
      <c r="H21" s="41"/>
      <c r="I21" s="41"/>
      <c r="J21" s="40"/>
      <c r="K21" s="40"/>
      <c r="L21" s="40"/>
    </row>
    <row r="22" customFormat="false" ht="15" hidden="false" customHeight="true" outlineLevel="0" collapsed="false">
      <c r="A22" s="42" t="s">
        <v>60</v>
      </c>
      <c r="B22" s="42"/>
      <c r="C22" s="42"/>
      <c r="D22" s="42"/>
      <c r="E22" s="42"/>
      <c r="F22" s="42"/>
      <c r="G22" s="43" t="n">
        <f aca="false">K15</f>
        <v>1196480.4</v>
      </c>
      <c r="H22" s="43"/>
      <c r="I22" s="43"/>
      <c r="J22" s="20"/>
      <c r="K22" s="20"/>
      <c r="L22" s="20"/>
    </row>
    <row r="23" customFormat="false" ht="15" hidden="false" customHeight="true" outlineLevel="0" collapsed="false">
      <c r="A23" s="42" t="s">
        <v>61</v>
      </c>
      <c r="B23" s="42"/>
      <c r="C23" s="42"/>
      <c r="D23" s="42"/>
      <c r="E23" s="42"/>
      <c r="F23" s="42"/>
      <c r="G23" s="43" t="n">
        <f aca="false">L15</f>
        <v>14557178.2</v>
      </c>
      <c r="H23" s="43"/>
      <c r="I23" s="43"/>
      <c r="J23" s="20"/>
      <c r="K23" s="20"/>
      <c r="L23" s="20"/>
    </row>
    <row r="24" customFormat="false" ht="15" hidden="false" customHeight="true" outlineLevel="0" collapsed="false">
      <c r="A24" s="42" t="s">
        <v>62</v>
      </c>
      <c r="B24" s="42"/>
      <c r="C24" s="42"/>
      <c r="D24" s="42"/>
      <c r="E24" s="42"/>
      <c r="F24" s="42"/>
      <c r="G24" s="43" t="n">
        <f aca="false">IF(C15&gt;0,K15/C15,0)</f>
        <v>274.863404548587</v>
      </c>
      <c r="H24" s="43"/>
      <c r="I24" s="43"/>
      <c r="J24" s="20"/>
      <c r="K24" s="20"/>
      <c r="L24" s="20"/>
    </row>
    <row r="25" customFormat="false" ht="15" hidden="false" customHeight="true" outlineLevel="0" collapsed="false">
      <c r="A25" s="42" t="s">
        <v>63</v>
      </c>
      <c r="B25" s="42"/>
      <c r="C25" s="42"/>
      <c r="D25" s="42"/>
      <c r="E25" s="42"/>
      <c r="F25" s="42"/>
      <c r="G25" s="44" t="str">
        <f aca="false">INDEX(B5:B14,MATCH(MAX(I5:I14),I5:I14,0))</f>
        <v>Air Conditioners (AC)</v>
      </c>
      <c r="H25" s="44"/>
      <c r="I25" s="44"/>
      <c r="J25" s="20"/>
      <c r="K25" s="20"/>
      <c r="L25" s="20"/>
    </row>
  </sheetData>
  <mergeCells count="19">
    <mergeCell ref="A1:L1"/>
    <mergeCell ref="A2:L2"/>
    <mergeCell ref="A17:L17"/>
    <mergeCell ref="A18:F18"/>
    <mergeCell ref="G18:I18"/>
    <mergeCell ref="A19:F19"/>
    <mergeCell ref="G19:I19"/>
    <mergeCell ref="A20:F20"/>
    <mergeCell ref="G20:I20"/>
    <mergeCell ref="A21:F21"/>
    <mergeCell ref="G21:I21"/>
    <mergeCell ref="A22:F22"/>
    <mergeCell ref="G22:I22"/>
    <mergeCell ref="A23:F23"/>
    <mergeCell ref="G23:I23"/>
    <mergeCell ref="A24:F24"/>
    <mergeCell ref="G24:I24"/>
    <mergeCell ref="A25:F25"/>
    <mergeCell ref="G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9" min="7" style="0" width="20"/>
    <col collapsed="false" customWidth="true" hidden="false" outlineLevel="0" max="10" min="10" style="0" width="18"/>
  </cols>
  <sheetData>
    <row r="1" customFormat="false" ht="37.5" hidden="false" customHeight="true" outlineLevel="0" collapsed="false">
      <c r="A1" s="45" t="s">
        <v>64</v>
      </c>
      <c r="B1" s="45"/>
      <c r="C1" s="45"/>
      <c r="D1" s="45"/>
      <c r="E1" s="45"/>
      <c r="F1" s="45"/>
      <c r="G1" s="45"/>
      <c r="H1" s="45"/>
      <c r="I1" s="45"/>
      <c r="J1" s="45"/>
    </row>
    <row r="2" customFormat="false" ht="25.5" hidden="false" customHeight="true" outlineLevel="0" collapsed="false">
      <c r="A2" s="46" t="s">
        <v>65</v>
      </c>
      <c r="B2" s="46"/>
      <c r="C2" s="46"/>
      <c r="D2" s="46"/>
      <c r="E2" s="46"/>
      <c r="F2" s="46"/>
      <c r="G2" s="46"/>
      <c r="H2" s="46"/>
      <c r="I2" s="46"/>
      <c r="J2" s="46"/>
    </row>
    <row r="4" customFormat="false" ht="36" hidden="false" customHeight="true" outlineLevel="0" collapsed="false">
      <c r="A4" s="47" t="s">
        <v>2</v>
      </c>
      <c r="B4" s="47" t="s">
        <v>3</v>
      </c>
      <c r="C4" s="47" t="s">
        <v>14</v>
      </c>
      <c r="D4" s="47" t="s">
        <v>66</v>
      </c>
      <c r="E4" s="47" t="s">
        <v>48</v>
      </c>
      <c r="F4" s="47" t="s">
        <v>49</v>
      </c>
      <c r="G4" s="47" t="s">
        <v>50</v>
      </c>
      <c r="H4" s="47" t="s">
        <v>51</v>
      </c>
      <c r="I4" s="47" t="s">
        <v>54</v>
      </c>
      <c r="J4" s="47" t="s">
        <v>67</v>
      </c>
    </row>
    <row r="5" customFormat="false" ht="15" hidden="false" customHeight="false" outlineLevel="0" collapsed="false">
      <c r="A5" s="4" t="n">
        <v>1</v>
      </c>
      <c r="B5" s="48" t="str">
        <f aca="false">'1. Master Inventory'!B5</f>
        <v>Main Academic Block</v>
      </c>
      <c r="C5" s="27" t="n">
        <f aca="false">'1. Master Inventory'!M5</f>
        <v>300</v>
      </c>
      <c r="D5" s="28" t="n">
        <f aca="false">('1. Master Inventory'!C5*40+'1. Master Inventory'!D5*75+'1. Master Inventory'!E5*15+'1. Master Inventory'!F5*50+'1. Master Inventory'!G5*55+'1. Master Inventory'!H5*30+'1. Master Inventory'!I5*1500+'1. Master Inventory'!J5*200+'1. Master Inventory'!K5*150+'1. Master Inventory'!L5*1500)/1000</f>
        <v>25.45</v>
      </c>
      <c r="E5" s="15" t="n">
        <v>10</v>
      </c>
      <c r="F5" s="28" t="n">
        <f aca="false">D5*E5</f>
        <v>254.5</v>
      </c>
      <c r="G5" s="7" t="n">
        <f aca="false">F5*30</f>
        <v>7635</v>
      </c>
      <c r="H5" s="7" t="n">
        <f aca="false">F5*365</f>
        <v>92892.5</v>
      </c>
      <c r="I5" s="30" t="n">
        <f aca="false">H5*8.5</f>
        <v>789586.25</v>
      </c>
      <c r="J5" s="49" t="n">
        <f aca="false">IF(H$35&gt;0,H5/H$35*100,0)</f>
        <v>5.04955307983056</v>
      </c>
    </row>
    <row r="6" customFormat="false" ht="15" hidden="false" customHeight="false" outlineLevel="0" collapsed="false">
      <c r="A6" s="9" t="n">
        <v>2</v>
      </c>
      <c r="B6" s="50" t="str">
        <f aca="false">'1. Master Inventory'!B6</f>
        <v>Science Block</v>
      </c>
      <c r="C6" s="31" t="n">
        <f aca="false">'1. Master Inventory'!M6</f>
        <v>263</v>
      </c>
      <c r="D6" s="32" t="n">
        <f aca="false">('1. Master Inventory'!C6*40+'1. Master Inventory'!D6*75+'1. Master Inventory'!E6*15+'1. Master Inventory'!F6*50+'1. Master Inventory'!G6*55+'1. Master Inventory'!H6*30+'1. Master Inventory'!I6*1500+'1. Master Inventory'!J6*200+'1. Master Inventory'!K6*150+'1. Master Inventory'!L6*1500)/1000</f>
        <v>20.095</v>
      </c>
      <c r="E6" s="17" t="n">
        <v>10</v>
      </c>
      <c r="F6" s="32" t="n">
        <f aca="false">D6*E6</f>
        <v>200.95</v>
      </c>
      <c r="G6" s="12" t="n">
        <f aca="false">F6*30</f>
        <v>6028.5</v>
      </c>
      <c r="H6" s="12" t="n">
        <f aca="false">F6*365</f>
        <v>73346.75</v>
      </c>
      <c r="I6" s="34" t="n">
        <f aca="false">H6*8.5</f>
        <v>623447.375</v>
      </c>
      <c r="J6" s="51" t="n">
        <f aca="false">IF(H$35&gt;0,H6/H$35*100,0)</f>
        <v>3.98706362040059</v>
      </c>
    </row>
    <row r="7" customFormat="false" ht="15" hidden="false" customHeight="false" outlineLevel="0" collapsed="false">
      <c r="A7" s="4" t="n">
        <v>3</v>
      </c>
      <c r="B7" s="48" t="str">
        <f aca="false">'1. Master Inventory'!B7</f>
        <v>Engineering Block</v>
      </c>
      <c r="C7" s="27" t="n">
        <f aca="false">'1. Master Inventory'!M7</f>
        <v>311</v>
      </c>
      <c r="D7" s="28" t="n">
        <f aca="false">('1. Master Inventory'!C7*40+'1. Master Inventory'!D7*75+'1. Master Inventory'!E7*15+'1. Master Inventory'!F7*50+'1. Master Inventory'!G7*55+'1. Master Inventory'!H7*30+'1. Master Inventory'!I7*1500+'1. Master Inventory'!J7*200+'1. Master Inventory'!K7*150+'1. Master Inventory'!L7*1500)/1000</f>
        <v>28.125</v>
      </c>
      <c r="E7" s="15" t="n">
        <v>10</v>
      </c>
      <c r="F7" s="28" t="n">
        <f aca="false">D7*E7</f>
        <v>281.25</v>
      </c>
      <c r="G7" s="7" t="n">
        <f aca="false">F7*30</f>
        <v>8437.5</v>
      </c>
      <c r="H7" s="7" t="n">
        <f aca="false">F7*365</f>
        <v>102656.25</v>
      </c>
      <c r="I7" s="30" t="n">
        <f aca="false">H7*8.5</f>
        <v>872578.125</v>
      </c>
      <c r="J7" s="49" t="n">
        <f aca="false">IF(H$35&gt;0,H7/H$35*100,0)</f>
        <v>5.58030178272041</v>
      </c>
    </row>
    <row r="8" customFormat="false" ht="15" hidden="false" customHeight="false" outlineLevel="0" collapsed="false">
      <c r="A8" s="9" t="n">
        <v>4</v>
      </c>
      <c r="B8" s="50" t="str">
        <f aca="false">'1. Master Inventory'!B8</f>
        <v>Library</v>
      </c>
      <c r="C8" s="31" t="n">
        <f aca="false">'1. Master Inventory'!M8</f>
        <v>110</v>
      </c>
      <c r="D8" s="32" t="n">
        <f aca="false">('1. Master Inventory'!C8*40+'1. Master Inventory'!D8*75+'1. Master Inventory'!E8*15+'1. Master Inventory'!F8*50+'1. Master Inventory'!G8*55+'1. Master Inventory'!H8*30+'1. Master Inventory'!I8*1500+'1. Master Inventory'!J8*200+'1. Master Inventory'!K8*150+'1. Master Inventory'!L8*1500)/1000</f>
        <v>10.525</v>
      </c>
      <c r="E8" s="17" t="n">
        <v>10</v>
      </c>
      <c r="F8" s="32" t="n">
        <f aca="false">D8*E8</f>
        <v>105.25</v>
      </c>
      <c r="G8" s="12" t="n">
        <f aca="false">F8*30</f>
        <v>3157.5</v>
      </c>
      <c r="H8" s="12" t="n">
        <f aca="false">F8*365</f>
        <v>38416.25</v>
      </c>
      <c r="I8" s="34" t="n">
        <f aca="false">H8*8.5</f>
        <v>326538.125</v>
      </c>
      <c r="J8" s="51" t="n">
        <f aca="false">IF(H$35&gt;0,H8/H$35*100,0)</f>
        <v>2.08827293380026</v>
      </c>
    </row>
    <row r="9" customFormat="false" ht="15" hidden="false" customHeight="false" outlineLevel="0" collapsed="false">
      <c r="A9" s="4" t="n">
        <v>5</v>
      </c>
      <c r="B9" s="48" t="str">
        <f aca="false">'1. Master Inventory'!B9</f>
        <v>Computer Centre</v>
      </c>
      <c r="C9" s="27" t="n">
        <f aca="false">'1. Master Inventory'!M9</f>
        <v>118</v>
      </c>
      <c r="D9" s="28" t="n">
        <f aca="false">('1. Master Inventory'!C9*40+'1. Master Inventory'!D9*75+'1. Master Inventory'!E9*15+'1. Master Inventory'!F9*50+'1. Master Inventory'!G9*55+'1. Master Inventory'!H9*30+'1. Master Inventory'!I9*1500+'1. Master Inventory'!J9*200+'1. Master Inventory'!K9*150+'1. Master Inventory'!L9*1500)/1000</f>
        <v>21.86</v>
      </c>
      <c r="E9" s="15" t="n">
        <v>10</v>
      </c>
      <c r="F9" s="28" t="n">
        <f aca="false">D9*E9</f>
        <v>218.6</v>
      </c>
      <c r="G9" s="7" t="n">
        <f aca="false">F9*30</f>
        <v>6558</v>
      </c>
      <c r="H9" s="7" t="n">
        <f aca="false">F9*365</f>
        <v>79789</v>
      </c>
      <c r="I9" s="30" t="n">
        <f aca="false">H9*8.5</f>
        <v>678206.5</v>
      </c>
      <c r="J9" s="49" t="n">
        <f aca="false">IF(H$35&gt;0,H9/H$35*100,0)</f>
        <v>4.33725855894287</v>
      </c>
    </row>
    <row r="10" customFormat="false" ht="15" hidden="false" customHeight="false" outlineLevel="0" collapsed="false">
      <c r="A10" s="9" t="n">
        <v>6</v>
      </c>
      <c r="B10" s="50" t="str">
        <f aca="false">'1. Master Inventory'!B10</f>
        <v>Hostel – A (Boys)</v>
      </c>
      <c r="C10" s="31" t="n">
        <f aca="false">'1. Master Inventory'!M10</f>
        <v>528</v>
      </c>
      <c r="D10" s="32" t="n">
        <f aca="false">('1. Master Inventory'!C10*40+'1. Master Inventory'!D10*75+'1. Master Inventory'!E10*15+'1. Master Inventory'!F10*50+'1. Master Inventory'!G10*55+'1. Master Inventory'!H10*30+'1. Master Inventory'!I10*1500+'1. Master Inventory'!J10*200+'1. Master Inventory'!K10*150+'1. Master Inventory'!L10*1500)/1000</f>
        <v>64.79</v>
      </c>
      <c r="E10" s="17" t="n">
        <v>10</v>
      </c>
      <c r="F10" s="32" t="n">
        <f aca="false">D10*E10</f>
        <v>647.9</v>
      </c>
      <c r="G10" s="12" t="n">
        <f aca="false">F10*30</f>
        <v>19437</v>
      </c>
      <c r="H10" s="12" t="n">
        <f aca="false">F10*365</f>
        <v>236483.5</v>
      </c>
      <c r="I10" s="34" t="n">
        <f aca="false">H10*8.5</f>
        <v>2010109.75</v>
      </c>
      <c r="J10" s="51" t="n">
        <f aca="false">IF(H$35&gt;0,H10/H$35*100,0)</f>
        <v>12.8550312000873</v>
      </c>
    </row>
    <row r="11" customFormat="false" ht="15" hidden="false" customHeight="false" outlineLevel="0" collapsed="false">
      <c r="A11" s="4" t="n">
        <v>7</v>
      </c>
      <c r="B11" s="48" t="str">
        <f aca="false">'1. Master Inventory'!B11</f>
        <v>Hostel – B (Boys)</v>
      </c>
      <c r="C11" s="27" t="n">
        <f aca="false">'1. Master Inventory'!M11</f>
        <v>474</v>
      </c>
      <c r="D11" s="28" t="n">
        <f aca="false">('1. Master Inventory'!C11*40+'1. Master Inventory'!D11*75+'1. Master Inventory'!E11*15+'1. Master Inventory'!F11*50+'1. Master Inventory'!G11*55+'1. Master Inventory'!H11*30+'1. Master Inventory'!I11*1500+'1. Master Inventory'!J11*200+'1. Master Inventory'!K11*150+'1. Master Inventory'!L11*1500)/1000</f>
        <v>55</v>
      </c>
      <c r="E11" s="15" t="n">
        <v>10</v>
      </c>
      <c r="F11" s="28" t="n">
        <f aca="false">D11*E11</f>
        <v>550</v>
      </c>
      <c r="G11" s="7" t="n">
        <f aca="false">F11*30</f>
        <v>16500</v>
      </c>
      <c r="H11" s="7" t="n">
        <f aca="false">F11*365</f>
        <v>200750</v>
      </c>
      <c r="I11" s="30" t="n">
        <f aca="false">H11*8.5</f>
        <v>1706375</v>
      </c>
      <c r="J11" s="49" t="n">
        <f aca="false">IF(H$35&gt;0,H11/H$35*100,0)</f>
        <v>10.9125901528755</v>
      </c>
    </row>
    <row r="12" customFormat="false" ht="15" hidden="false" customHeight="false" outlineLevel="0" collapsed="false">
      <c r="A12" s="9" t="n">
        <v>8</v>
      </c>
      <c r="B12" s="50" t="str">
        <f aca="false">'1. Master Inventory'!B12</f>
        <v>Hostel – C (Girls)</v>
      </c>
      <c r="C12" s="31" t="n">
        <f aca="false">'1. Master Inventory'!M12</f>
        <v>501</v>
      </c>
      <c r="D12" s="32" t="n">
        <f aca="false">('1. Master Inventory'!C12*40+'1. Master Inventory'!D12*75+'1. Master Inventory'!E12*15+'1. Master Inventory'!F12*50+'1. Master Inventory'!G12*55+'1. Master Inventory'!H12*30+'1. Master Inventory'!I12*1500+'1. Master Inventory'!J12*200+'1. Master Inventory'!K12*150+'1. Master Inventory'!L12*1500)/1000</f>
        <v>60.535</v>
      </c>
      <c r="E12" s="17" t="n">
        <v>10</v>
      </c>
      <c r="F12" s="32" t="n">
        <f aca="false">D12*E12</f>
        <v>605.35</v>
      </c>
      <c r="G12" s="12" t="n">
        <f aca="false">F12*30</f>
        <v>18160.5</v>
      </c>
      <c r="H12" s="12" t="n">
        <f aca="false">F12*365</f>
        <v>220952.75</v>
      </c>
      <c r="I12" s="34" t="n">
        <f aca="false">H12*8.5</f>
        <v>1878098.375</v>
      </c>
      <c r="J12" s="51" t="n">
        <f aca="false">IF(H$35&gt;0,H12/H$35*100,0)</f>
        <v>12.0107935437148</v>
      </c>
    </row>
    <row r="13" customFormat="false" ht="15" hidden="false" customHeight="false" outlineLevel="0" collapsed="false">
      <c r="A13" s="4" t="n">
        <v>9</v>
      </c>
      <c r="B13" s="48" t="str">
        <f aca="false">'1. Master Inventory'!B13</f>
        <v>Hostel – D (Girls)</v>
      </c>
      <c r="C13" s="27" t="n">
        <f aca="false">'1. Master Inventory'!M13</f>
        <v>440</v>
      </c>
      <c r="D13" s="28" t="n">
        <f aca="false">('1. Master Inventory'!C13*40+'1. Master Inventory'!D13*75+'1. Master Inventory'!E13*15+'1. Master Inventory'!F13*50+'1. Master Inventory'!G13*55+'1. Master Inventory'!H13*30+'1. Master Inventory'!I13*1500+'1. Master Inventory'!J13*200+'1. Master Inventory'!K13*150+'1. Master Inventory'!L13*1500)/1000</f>
        <v>47.39</v>
      </c>
      <c r="E13" s="15" t="n">
        <v>10</v>
      </c>
      <c r="F13" s="28" t="n">
        <f aca="false">D13*E13</f>
        <v>473.9</v>
      </c>
      <c r="G13" s="7" t="n">
        <f aca="false">F13*30</f>
        <v>14217</v>
      </c>
      <c r="H13" s="7" t="n">
        <f aca="false">F13*365</f>
        <v>172973.5</v>
      </c>
      <c r="I13" s="30" t="n">
        <f aca="false">H13*8.5</f>
        <v>1470274.75</v>
      </c>
      <c r="J13" s="49" t="n">
        <f aca="false">IF(H$35&gt;0,H13/H$35*100,0)</f>
        <v>9.40268449717761</v>
      </c>
    </row>
    <row r="14" customFormat="false" ht="15" hidden="false" customHeight="false" outlineLevel="0" collapsed="false">
      <c r="A14" s="9" t="n">
        <v>10</v>
      </c>
      <c r="B14" s="50" t="str">
        <f aca="false">'1. Master Inventory'!B14</f>
        <v>Canteen / Mess</v>
      </c>
      <c r="C14" s="31" t="n">
        <f aca="false">'1. Master Inventory'!M14</f>
        <v>96</v>
      </c>
      <c r="D14" s="32" t="n">
        <f aca="false">('1. Master Inventory'!C14*40+'1. Master Inventory'!D14*75+'1. Master Inventory'!E14*15+'1. Master Inventory'!F14*50+'1. Master Inventory'!G14*55+'1. Master Inventory'!H14*30+'1. Master Inventory'!I14*1500+'1. Master Inventory'!J14*200+'1. Master Inventory'!K14*150+'1. Master Inventory'!L14*1500)/1000</f>
        <v>16.515</v>
      </c>
      <c r="E14" s="17" t="n">
        <v>10</v>
      </c>
      <c r="F14" s="32" t="n">
        <f aca="false">D14*E14</f>
        <v>165.15</v>
      </c>
      <c r="G14" s="12" t="n">
        <f aca="false">F14*30</f>
        <v>4954.5</v>
      </c>
      <c r="H14" s="12" t="n">
        <f aca="false">F14*365</f>
        <v>60279.75</v>
      </c>
      <c r="I14" s="34" t="n">
        <f aca="false">H14*8.5</f>
        <v>512377.875</v>
      </c>
      <c r="J14" s="51" t="n">
        <f aca="false">IF(H$35&gt;0,H14/H$35*100,0)</f>
        <v>3.27675320681342</v>
      </c>
    </row>
    <row r="15" customFormat="false" ht="15" hidden="false" customHeight="false" outlineLevel="0" collapsed="false">
      <c r="A15" s="4" t="n">
        <v>11</v>
      </c>
      <c r="B15" s="48" t="str">
        <f aca="false">'1. Master Inventory'!B15</f>
        <v>Administrative Block</v>
      </c>
      <c r="C15" s="27" t="n">
        <f aca="false">'1. Master Inventory'!M15</f>
        <v>127</v>
      </c>
      <c r="D15" s="28" t="n">
        <f aca="false">('1. Master Inventory'!C15*40+'1. Master Inventory'!D15*75+'1. Master Inventory'!E15*15+'1. Master Inventory'!F15*50+'1. Master Inventory'!G15*55+'1. Master Inventory'!H15*30+'1. Master Inventory'!I15*1500+'1. Master Inventory'!J15*200+'1. Master Inventory'!K15*150+'1. Master Inventory'!L15*1500)/1000</f>
        <v>14.51</v>
      </c>
      <c r="E15" s="15" t="n">
        <v>10</v>
      </c>
      <c r="F15" s="28" t="n">
        <f aca="false">D15*E15</f>
        <v>145.1</v>
      </c>
      <c r="G15" s="7" t="n">
        <f aca="false">F15*30</f>
        <v>4353</v>
      </c>
      <c r="H15" s="7" t="n">
        <f aca="false">F15*365</f>
        <v>52961.5</v>
      </c>
      <c r="I15" s="30" t="n">
        <f aca="false">H15*8.5</f>
        <v>450172.75</v>
      </c>
      <c r="J15" s="49" t="n">
        <f aca="false">IF(H$35&gt;0,H15/H$35*100,0)</f>
        <v>2.8789396930586</v>
      </c>
    </row>
    <row r="16" customFormat="false" ht="15" hidden="false" customHeight="false" outlineLevel="0" collapsed="false">
      <c r="A16" s="9" t="n">
        <v>12</v>
      </c>
      <c r="B16" s="50" t="str">
        <f aca="false">'1. Master Inventory'!B16</f>
        <v>Examination Hall</v>
      </c>
      <c r="C16" s="31" t="n">
        <f aca="false">'1. Master Inventory'!M16</f>
        <v>163</v>
      </c>
      <c r="D16" s="32" t="n">
        <f aca="false">('1. Master Inventory'!C16*40+'1. Master Inventory'!D16*75+'1. Master Inventory'!E16*15+'1. Master Inventory'!F16*50+'1. Master Inventory'!G16*55+'1. Master Inventory'!H16*30+'1. Master Inventory'!I16*1500+'1. Master Inventory'!J16*200+'1. Master Inventory'!K16*150+'1. Master Inventory'!L16*1500)/1000</f>
        <v>18.875</v>
      </c>
      <c r="E16" s="17" t="n">
        <v>10</v>
      </c>
      <c r="F16" s="32" t="n">
        <f aca="false">D16*E16</f>
        <v>188.75</v>
      </c>
      <c r="G16" s="12" t="n">
        <f aca="false">F16*30</f>
        <v>5662.5</v>
      </c>
      <c r="H16" s="12" t="n">
        <f aca="false">F16*365</f>
        <v>68893.75</v>
      </c>
      <c r="I16" s="34" t="n">
        <f aca="false">H16*8.5</f>
        <v>585596.875</v>
      </c>
      <c r="J16" s="51" t="n">
        <f aca="false">IF(H$35&gt;0,H16/H$35*100,0)</f>
        <v>3.74500252973681</v>
      </c>
    </row>
    <row r="17" customFormat="false" ht="15" hidden="false" customHeight="false" outlineLevel="0" collapsed="false">
      <c r="A17" s="4" t="n">
        <v>13</v>
      </c>
      <c r="B17" s="48" t="str">
        <f aca="false">'1. Master Inventory'!B17</f>
        <v>Auditorium / Seminar Hall</v>
      </c>
      <c r="C17" s="27" t="n">
        <f aca="false">'1. Master Inventory'!M17</f>
        <v>94</v>
      </c>
      <c r="D17" s="28" t="n">
        <f aca="false">('1. Master Inventory'!C17*40+'1. Master Inventory'!D17*75+'1. Master Inventory'!E17*15+'1. Master Inventory'!F17*50+'1. Master Inventory'!G17*55+'1. Master Inventory'!H17*30+'1. Master Inventory'!I17*1500+'1. Master Inventory'!J17*200+'1. Master Inventory'!K17*150+'1. Master Inventory'!L17*1500)/1000</f>
        <v>12.095</v>
      </c>
      <c r="E17" s="15" t="n">
        <v>10</v>
      </c>
      <c r="F17" s="28" t="n">
        <f aca="false">D17*E17</f>
        <v>120.95</v>
      </c>
      <c r="G17" s="7" t="n">
        <f aca="false">F17*30</f>
        <v>3628.5</v>
      </c>
      <c r="H17" s="7" t="n">
        <f aca="false">F17*365</f>
        <v>44146.75</v>
      </c>
      <c r="I17" s="30" t="n">
        <f aca="false">H17*8.5</f>
        <v>375247.375</v>
      </c>
      <c r="J17" s="49" t="n">
        <f aca="false">IF(H$35&gt;0,H17/H$35*100,0)</f>
        <v>2.39977777998234</v>
      </c>
    </row>
    <row r="18" customFormat="false" ht="15" hidden="false" customHeight="false" outlineLevel="0" collapsed="false">
      <c r="A18" s="9" t="n">
        <v>14</v>
      </c>
      <c r="B18" s="50" t="str">
        <f aca="false">'1. Master Inventory'!B18</f>
        <v>Workshop / Lab Complex</v>
      </c>
      <c r="C18" s="31" t="n">
        <f aca="false">'1. Master Inventory'!M18</f>
        <v>162</v>
      </c>
      <c r="D18" s="32" t="n">
        <f aca="false">('1. Master Inventory'!C18*40+'1. Master Inventory'!D18*75+'1. Master Inventory'!E18*15+'1. Master Inventory'!F18*50+'1. Master Inventory'!G18*55+'1. Master Inventory'!H18*30+'1. Master Inventory'!I18*1500+'1. Master Inventory'!J18*200+'1. Master Inventory'!K18*150+'1. Master Inventory'!L18*1500)/1000</f>
        <v>16.555</v>
      </c>
      <c r="E18" s="17" t="n">
        <v>10</v>
      </c>
      <c r="F18" s="32" t="n">
        <f aca="false">D18*E18</f>
        <v>165.55</v>
      </c>
      <c r="G18" s="12" t="n">
        <f aca="false">F18*30</f>
        <v>4966.5</v>
      </c>
      <c r="H18" s="12" t="n">
        <f aca="false">F18*365</f>
        <v>60425.75</v>
      </c>
      <c r="I18" s="34" t="n">
        <f aca="false">H18*8.5</f>
        <v>513618.875</v>
      </c>
      <c r="J18" s="51" t="n">
        <f aca="false">IF(H$35&gt;0,H18/H$35*100,0)</f>
        <v>3.28468963601552</v>
      </c>
    </row>
    <row r="19" customFormat="false" ht="15" hidden="false" customHeight="false" outlineLevel="0" collapsed="false">
      <c r="A19" s="4" t="n">
        <v>15</v>
      </c>
      <c r="B19" s="48" t="str">
        <f aca="false">'1. Master Inventory'!B19</f>
        <v>Sports Complex / Gym</v>
      </c>
      <c r="C19" s="27" t="n">
        <f aca="false">'1. Master Inventory'!M19</f>
        <v>74</v>
      </c>
      <c r="D19" s="28" t="n">
        <f aca="false">('1. Master Inventory'!C19*40+'1. Master Inventory'!D19*75+'1. Master Inventory'!E19*15+'1. Master Inventory'!F19*50+'1. Master Inventory'!G19*55+'1. Master Inventory'!H19*30+'1. Master Inventory'!I19*1500+'1. Master Inventory'!J19*200+'1. Master Inventory'!K19*150+'1. Master Inventory'!L19*1500)/1000</f>
        <v>10.855</v>
      </c>
      <c r="E19" s="15" t="n">
        <v>10</v>
      </c>
      <c r="F19" s="28" t="n">
        <f aca="false">D19*E19</f>
        <v>108.55</v>
      </c>
      <c r="G19" s="7" t="n">
        <f aca="false">F19*30</f>
        <v>3256.5</v>
      </c>
      <c r="H19" s="7" t="n">
        <f aca="false">F19*365</f>
        <v>39620.75</v>
      </c>
      <c r="I19" s="30" t="n">
        <f aca="false">H19*8.5</f>
        <v>336776.375</v>
      </c>
      <c r="J19" s="49" t="n">
        <f aca="false">IF(H$35&gt;0,H19/H$35*100,0)</f>
        <v>2.15374847471751</v>
      </c>
    </row>
    <row r="20" customFormat="false" ht="15" hidden="false" customHeight="false" outlineLevel="0" collapsed="false">
      <c r="A20" s="9" t="n">
        <v>16</v>
      </c>
      <c r="B20" s="50" t="str">
        <f aca="false">'1. Master Inventory'!B20</f>
        <v>Staff Quarters – Block A</v>
      </c>
      <c r="C20" s="31" t="n">
        <f aca="false">'1. Master Inventory'!M20</f>
        <v>230</v>
      </c>
      <c r="D20" s="32" t="n">
        <f aca="false">('1. Master Inventory'!C20*40+'1. Master Inventory'!D20*75+'1. Master Inventory'!E20*15+'1. Master Inventory'!F20*50+'1. Master Inventory'!G20*55+'1. Master Inventory'!H20*30+'1. Master Inventory'!I20*1500+'1. Master Inventory'!J20*200+'1. Master Inventory'!K20*150+'1. Master Inventory'!L20*1500)/1000</f>
        <v>31.545</v>
      </c>
      <c r="E20" s="17" t="n">
        <v>10</v>
      </c>
      <c r="F20" s="32" t="n">
        <f aca="false">D20*E20</f>
        <v>315.45</v>
      </c>
      <c r="G20" s="12" t="n">
        <f aca="false">F20*30</f>
        <v>9463.5</v>
      </c>
      <c r="H20" s="12" t="n">
        <f aca="false">F20*365</f>
        <v>115139.25</v>
      </c>
      <c r="I20" s="34" t="n">
        <f aca="false">H20*8.5</f>
        <v>978683.625</v>
      </c>
      <c r="J20" s="51" t="n">
        <f aca="false">IF(H$35&gt;0,H20/H$35*100,0)</f>
        <v>6.25886647949921</v>
      </c>
    </row>
    <row r="21" customFormat="false" ht="15" hidden="false" customHeight="false" outlineLevel="0" collapsed="false">
      <c r="A21" s="4" t="n">
        <v>17</v>
      </c>
      <c r="B21" s="48" t="str">
        <f aca="false">'1. Master Inventory'!B21</f>
        <v>Staff Quarters – Block B</v>
      </c>
      <c r="C21" s="27" t="n">
        <f aca="false">'1. Master Inventory'!M21</f>
        <v>201</v>
      </c>
      <c r="D21" s="28" t="n">
        <f aca="false">('1. Master Inventory'!C21*40+'1. Master Inventory'!D21*75+'1. Master Inventory'!E21*15+'1. Master Inventory'!F21*50+'1. Master Inventory'!G21*55+'1. Master Inventory'!H21*30+'1. Master Inventory'!I21*1500+'1. Master Inventory'!J21*200+'1. Master Inventory'!K21*150+'1. Master Inventory'!L21*1500)/1000</f>
        <v>25.66</v>
      </c>
      <c r="E21" s="15" t="n">
        <v>10</v>
      </c>
      <c r="F21" s="28" t="n">
        <f aca="false">D21*E21</f>
        <v>256.6</v>
      </c>
      <c r="G21" s="7" t="n">
        <f aca="false">F21*30</f>
        <v>7698</v>
      </c>
      <c r="H21" s="7" t="n">
        <f aca="false">F21*365</f>
        <v>93659</v>
      </c>
      <c r="I21" s="30" t="n">
        <f aca="false">H21*8.5</f>
        <v>796101.5</v>
      </c>
      <c r="J21" s="49" t="n">
        <f aca="false">IF(H$35&gt;0,H21/H$35*100,0)</f>
        <v>5.09121933314154</v>
      </c>
    </row>
    <row r="22" customFormat="false" ht="15" hidden="false" customHeight="false" outlineLevel="0" collapsed="false">
      <c r="A22" s="9" t="n">
        <v>18</v>
      </c>
      <c r="B22" s="50" t="str">
        <f aca="false">'1. Master Inventory'!B22</f>
        <v>Guest House</v>
      </c>
      <c r="C22" s="31" t="n">
        <f aca="false">'1. Master Inventory'!M22</f>
        <v>80</v>
      </c>
      <c r="D22" s="32" t="n">
        <f aca="false">('1. Master Inventory'!C22*40+'1. Master Inventory'!D22*75+'1. Master Inventory'!E22*15+'1. Master Inventory'!F22*50+'1. Master Inventory'!G22*55+'1. Master Inventory'!H22*30+'1. Master Inventory'!I22*1500+'1. Master Inventory'!J22*200+'1. Master Inventory'!K22*150+'1. Master Inventory'!L22*1500)/1000</f>
        <v>12.52</v>
      </c>
      <c r="E22" s="17" t="n">
        <v>10</v>
      </c>
      <c r="F22" s="32" t="n">
        <f aca="false">D22*E22</f>
        <v>125.2</v>
      </c>
      <c r="G22" s="12" t="n">
        <f aca="false">F22*30</f>
        <v>3756</v>
      </c>
      <c r="H22" s="12" t="n">
        <f aca="false">F22*365</f>
        <v>45698</v>
      </c>
      <c r="I22" s="34" t="n">
        <f aca="false">H22*8.5</f>
        <v>388433</v>
      </c>
      <c r="J22" s="51" t="n">
        <f aca="false">IF(H$35&gt;0,H22/H$35*100,0)</f>
        <v>2.48410234025456</v>
      </c>
    </row>
    <row r="23" customFormat="false" ht="15" hidden="false" customHeight="false" outlineLevel="0" collapsed="false">
      <c r="A23" s="4" t="n">
        <v>19</v>
      </c>
      <c r="B23" s="48" t="str">
        <f aca="false">'1. Master Inventory'!B23</f>
        <v>Health Centre / Dispensary</v>
      </c>
      <c r="C23" s="27" t="n">
        <f aca="false">'1. Master Inventory'!M23</f>
        <v>51</v>
      </c>
      <c r="D23" s="28" t="n">
        <f aca="false">('1. Master Inventory'!C23*40+'1. Master Inventory'!D23*75+'1. Master Inventory'!E23*15+'1. Master Inventory'!F23*50+'1. Master Inventory'!G23*55+'1. Master Inventory'!H23*30+'1. Master Inventory'!I23*1500+'1. Master Inventory'!J23*200+'1. Master Inventory'!K23*150+'1. Master Inventory'!L23*1500)/1000</f>
        <v>8.35</v>
      </c>
      <c r="E23" s="15" t="n">
        <v>10</v>
      </c>
      <c r="F23" s="28" t="n">
        <f aca="false">D23*E23</f>
        <v>83.5</v>
      </c>
      <c r="G23" s="7" t="n">
        <f aca="false">F23*30</f>
        <v>2505</v>
      </c>
      <c r="H23" s="7" t="n">
        <f aca="false">F23*365</f>
        <v>30477.5</v>
      </c>
      <c r="I23" s="30" t="n">
        <f aca="false">H23*8.5</f>
        <v>259058.75</v>
      </c>
      <c r="J23" s="49" t="n">
        <f aca="false">IF(H$35&gt;0,H23/H$35*100,0)</f>
        <v>1.65672959593655</v>
      </c>
    </row>
    <row r="24" customFormat="false" ht="15" hidden="false" customHeight="false" outlineLevel="0" collapsed="false">
      <c r="A24" s="9" t="n">
        <v>20</v>
      </c>
      <c r="B24" s="50" t="str">
        <f aca="false">'1. Master Inventory'!B24</f>
        <v>Security / Gate Office</v>
      </c>
      <c r="C24" s="31" t="n">
        <f aca="false">'1. Master Inventory'!M24</f>
        <v>30</v>
      </c>
      <c r="D24" s="32" t="n">
        <f aca="false">('1. Master Inventory'!C24*40+'1. Master Inventory'!D24*75+'1. Master Inventory'!E24*15+'1. Master Inventory'!F24*50+'1. Master Inventory'!G24*55+'1. Master Inventory'!H24*30+'1. Master Inventory'!I24*1500+'1. Master Inventory'!J24*200+'1. Master Inventory'!K24*150+'1. Master Inventory'!L24*1500)/1000</f>
        <v>2.755</v>
      </c>
      <c r="E24" s="17" t="n">
        <v>10</v>
      </c>
      <c r="F24" s="32" t="n">
        <f aca="false">D24*E24</f>
        <v>27.55</v>
      </c>
      <c r="G24" s="12" t="n">
        <f aca="false">F24*30</f>
        <v>826.5</v>
      </c>
      <c r="H24" s="12" t="n">
        <f aca="false">F24*365</f>
        <v>10055.75</v>
      </c>
      <c r="I24" s="34" t="n">
        <f aca="false">H24*8.5</f>
        <v>85473.875</v>
      </c>
      <c r="J24" s="51" t="n">
        <f aca="false">IF(H$35&gt;0,H24/H$35*100,0)</f>
        <v>0.546621561294035</v>
      </c>
    </row>
    <row r="25" customFormat="false" ht="15" hidden="false" customHeight="false" outlineLevel="0" collapsed="false">
      <c r="A25" s="4" t="n">
        <v>21</v>
      </c>
      <c r="B25" s="48" t="n">
        <f aca="false">'1. Master Inventory'!B25</f>
        <v>0</v>
      </c>
      <c r="C25" s="27" t="n">
        <f aca="false">'1. Master Inventory'!M25</f>
        <v>0</v>
      </c>
      <c r="D25" s="28" t="n">
        <f aca="false">('1. Master Inventory'!C25*40+'1. Master Inventory'!D25*75+'1. Master Inventory'!E25*15+'1. Master Inventory'!F25*50+'1. Master Inventory'!G25*55+'1. Master Inventory'!H25*30+'1. Master Inventory'!I25*1500+'1. Master Inventory'!J25*200+'1. Master Inventory'!K25*150+'1. Master Inventory'!L25*1500)/1000</f>
        <v>0</v>
      </c>
      <c r="E25" s="15" t="n">
        <v>10</v>
      </c>
      <c r="F25" s="28" t="n">
        <f aca="false">D25*E25</f>
        <v>0</v>
      </c>
      <c r="G25" s="7" t="n">
        <f aca="false">F25*30</f>
        <v>0</v>
      </c>
      <c r="H25" s="7" t="n">
        <f aca="false">F25*365</f>
        <v>0</v>
      </c>
      <c r="I25" s="30" t="n">
        <f aca="false">H25*8.5</f>
        <v>0</v>
      </c>
      <c r="J25" s="49" t="n">
        <f aca="false">IF(H$35&gt;0,H25/H$35*100,0)</f>
        <v>0</v>
      </c>
    </row>
    <row r="26" customFormat="false" ht="15" hidden="false" customHeight="false" outlineLevel="0" collapsed="false">
      <c r="A26" s="9" t="n">
        <v>22</v>
      </c>
      <c r="B26" s="50" t="n">
        <f aca="false">'1. Master Inventory'!B26</f>
        <v>0</v>
      </c>
      <c r="C26" s="31" t="n">
        <f aca="false">'1. Master Inventory'!M26</f>
        <v>0</v>
      </c>
      <c r="D26" s="32" t="n">
        <f aca="false">('1. Master Inventory'!C26*40+'1. Master Inventory'!D26*75+'1. Master Inventory'!E26*15+'1. Master Inventory'!F26*50+'1. Master Inventory'!G26*55+'1. Master Inventory'!H26*30+'1. Master Inventory'!I26*1500+'1. Master Inventory'!J26*200+'1. Master Inventory'!K26*150+'1. Master Inventory'!L26*1500)/1000</f>
        <v>0</v>
      </c>
      <c r="E26" s="17" t="n">
        <v>10</v>
      </c>
      <c r="F26" s="32" t="n">
        <f aca="false">D26*E26</f>
        <v>0</v>
      </c>
      <c r="G26" s="12" t="n">
        <f aca="false">F26*30</f>
        <v>0</v>
      </c>
      <c r="H26" s="12" t="n">
        <f aca="false">F26*365</f>
        <v>0</v>
      </c>
      <c r="I26" s="34" t="n">
        <f aca="false">H26*8.5</f>
        <v>0</v>
      </c>
      <c r="J26" s="51" t="n">
        <f aca="false">IF(H$35&gt;0,H26/H$35*100,0)</f>
        <v>0</v>
      </c>
    </row>
    <row r="27" customFormat="false" ht="15" hidden="false" customHeight="false" outlineLevel="0" collapsed="false">
      <c r="A27" s="4" t="n">
        <v>23</v>
      </c>
      <c r="B27" s="48" t="n">
        <f aca="false">'1. Master Inventory'!B27</f>
        <v>0</v>
      </c>
      <c r="C27" s="27" t="n">
        <f aca="false">'1. Master Inventory'!M27</f>
        <v>0</v>
      </c>
      <c r="D27" s="28" t="n">
        <f aca="false">('1. Master Inventory'!C27*40+'1. Master Inventory'!D27*75+'1. Master Inventory'!E27*15+'1. Master Inventory'!F27*50+'1. Master Inventory'!G27*55+'1. Master Inventory'!H27*30+'1. Master Inventory'!I27*1500+'1. Master Inventory'!J27*200+'1. Master Inventory'!K27*150+'1. Master Inventory'!L27*1500)/1000</f>
        <v>0</v>
      </c>
      <c r="E27" s="15" t="n">
        <v>10</v>
      </c>
      <c r="F27" s="28" t="n">
        <f aca="false">D27*E27</f>
        <v>0</v>
      </c>
      <c r="G27" s="7" t="n">
        <f aca="false">F27*30</f>
        <v>0</v>
      </c>
      <c r="H27" s="7" t="n">
        <f aca="false">F27*365</f>
        <v>0</v>
      </c>
      <c r="I27" s="30" t="n">
        <f aca="false">H27*8.5</f>
        <v>0</v>
      </c>
      <c r="J27" s="49" t="n">
        <f aca="false">IF(H$35&gt;0,H27/H$35*100,0)</f>
        <v>0</v>
      </c>
    </row>
    <row r="28" customFormat="false" ht="15" hidden="false" customHeight="false" outlineLevel="0" collapsed="false">
      <c r="A28" s="9" t="n">
        <v>24</v>
      </c>
      <c r="B28" s="50" t="n">
        <f aca="false">'1. Master Inventory'!B28</f>
        <v>0</v>
      </c>
      <c r="C28" s="31" t="n">
        <f aca="false">'1. Master Inventory'!M28</f>
        <v>0</v>
      </c>
      <c r="D28" s="32" t="n">
        <f aca="false">('1. Master Inventory'!C28*40+'1. Master Inventory'!D28*75+'1. Master Inventory'!E28*15+'1. Master Inventory'!F28*50+'1. Master Inventory'!G28*55+'1. Master Inventory'!H28*30+'1. Master Inventory'!I28*1500+'1. Master Inventory'!J28*200+'1. Master Inventory'!K28*150+'1. Master Inventory'!L28*1500)/1000</f>
        <v>0</v>
      </c>
      <c r="E28" s="17" t="n">
        <v>10</v>
      </c>
      <c r="F28" s="32" t="n">
        <f aca="false">D28*E28</f>
        <v>0</v>
      </c>
      <c r="G28" s="12" t="n">
        <f aca="false">F28*30</f>
        <v>0</v>
      </c>
      <c r="H28" s="12" t="n">
        <f aca="false">F28*365</f>
        <v>0</v>
      </c>
      <c r="I28" s="34" t="n">
        <f aca="false">H28*8.5</f>
        <v>0</v>
      </c>
      <c r="J28" s="51" t="n">
        <f aca="false">IF(H$35&gt;0,H28/H$35*100,0)</f>
        <v>0</v>
      </c>
    </row>
    <row r="29" customFormat="false" ht="15" hidden="false" customHeight="false" outlineLevel="0" collapsed="false">
      <c r="A29" s="4" t="n">
        <v>25</v>
      </c>
      <c r="B29" s="48" t="n">
        <f aca="false">'1. Master Inventory'!B29</f>
        <v>0</v>
      </c>
      <c r="C29" s="27" t="n">
        <f aca="false">'1. Master Inventory'!M29</f>
        <v>0</v>
      </c>
      <c r="D29" s="28" t="n">
        <f aca="false">('1. Master Inventory'!C29*40+'1. Master Inventory'!D29*75+'1. Master Inventory'!E29*15+'1. Master Inventory'!F29*50+'1. Master Inventory'!G29*55+'1. Master Inventory'!H29*30+'1. Master Inventory'!I29*1500+'1. Master Inventory'!J29*200+'1. Master Inventory'!K29*150+'1. Master Inventory'!L29*1500)/1000</f>
        <v>0</v>
      </c>
      <c r="E29" s="15" t="n">
        <v>10</v>
      </c>
      <c r="F29" s="28" t="n">
        <f aca="false">D29*E29</f>
        <v>0</v>
      </c>
      <c r="G29" s="7" t="n">
        <f aca="false">F29*30</f>
        <v>0</v>
      </c>
      <c r="H29" s="7" t="n">
        <f aca="false">F29*365</f>
        <v>0</v>
      </c>
      <c r="I29" s="30" t="n">
        <f aca="false">H29*8.5</f>
        <v>0</v>
      </c>
      <c r="J29" s="49" t="n">
        <f aca="false">IF(H$35&gt;0,H29/H$35*100,0)</f>
        <v>0</v>
      </c>
    </row>
    <row r="30" customFormat="false" ht="15" hidden="false" customHeight="false" outlineLevel="0" collapsed="false">
      <c r="A30" s="9" t="n">
        <v>26</v>
      </c>
      <c r="B30" s="50" t="n">
        <f aca="false">'1. Master Inventory'!B30</f>
        <v>0</v>
      </c>
      <c r="C30" s="31" t="n">
        <f aca="false">'1. Master Inventory'!M30</f>
        <v>0</v>
      </c>
      <c r="D30" s="32" t="n">
        <f aca="false">('1. Master Inventory'!C30*40+'1. Master Inventory'!D30*75+'1. Master Inventory'!E30*15+'1. Master Inventory'!F30*50+'1. Master Inventory'!G30*55+'1. Master Inventory'!H30*30+'1. Master Inventory'!I30*1500+'1. Master Inventory'!J30*200+'1. Master Inventory'!K30*150+'1. Master Inventory'!L30*1500)/1000</f>
        <v>0</v>
      </c>
      <c r="E30" s="17" t="n">
        <v>10</v>
      </c>
      <c r="F30" s="32" t="n">
        <f aca="false">D30*E30</f>
        <v>0</v>
      </c>
      <c r="G30" s="12" t="n">
        <f aca="false">F30*30</f>
        <v>0</v>
      </c>
      <c r="H30" s="12" t="n">
        <f aca="false">F30*365</f>
        <v>0</v>
      </c>
      <c r="I30" s="34" t="n">
        <f aca="false">H30*8.5</f>
        <v>0</v>
      </c>
      <c r="J30" s="51" t="n">
        <f aca="false">IF(H$35&gt;0,H30/H$35*100,0)</f>
        <v>0</v>
      </c>
    </row>
    <row r="31" customFormat="false" ht="15" hidden="false" customHeight="false" outlineLevel="0" collapsed="false">
      <c r="A31" s="4" t="n">
        <v>27</v>
      </c>
      <c r="B31" s="48" t="n">
        <f aca="false">'1. Master Inventory'!B31</f>
        <v>0</v>
      </c>
      <c r="C31" s="27" t="n">
        <f aca="false">'1. Master Inventory'!M31</f>
        <v>0</v>
      </c>
      <c r="D31" s="28" t="n">
        <f aca="false">('1. Master Inventory'!C31*40+'1. Master Inventory'!D31*75+'1. Master Inventory'!E31*15+'1. Master Inventory'!F31*50+'1. Master Inventory'!G31*55+'1. Master Inventory'!H31*30+'1. Master Inventory'!I31*1500+'1. Master Inventory'!J31*200+'1. Master Inventory'!K31*150+'1. Master Inventory'!L31*1500)/1000</f>
        <v>0</v>
      </c>
      <c r="E31" s="15" t="n">
        <v>10</v>
      </c>
      <c r="F31" s="28" t="n">
        <f aca="false">D31*E31</f>
        <v>0</v>
      </c>
      <c r="G31" s="7" t="n">
        <f aca="false">F31*30</f>
        <v>0</v>
      </c>
      <c r="H31" s="7" t="n">
        <f aca="false">F31*365</f>
        <v>0</v>
      </c>
      <c r="I31" s="30" t="n">
        <f aca="false">H31*8.5</f>
        <v>0</v>
      </c>
      <c r="J31" s="49" t="n">
        <f aca="false">IF(H$35&gt;0,H31/H$35*100,0)</f>
        <v>0</v>
      </c>
    </row>
    <row r="32" customFormat="false" ht="15" hidden="false" customHeight="false" outlineLevel="0" collapsed="false">
      <c r="A32" s="9" t="n">
        <v>28</v>
      </c>
      <c r="B32" s="50" t="n">
        <f aca="false">'1. Master Inventory'!B32</f>
        <v>0</v>
      </c>
      <c r="C32" s="31" t="n">
        <f aca="false">'1. Master Inventory'!M32</f>
        <v>0</v>
      </c>
      <c r="D32" s="32" t="n">
        <f aca="false">('1. Master Inventory'!C32*40+'1. Master Inventory'!D32*75+'1. Master Inventory'!E32*15+'1. Master Inventory'!F32*50+'1. Master Inventory'!G32*55+'1. Master Inventory'!H32*30+'1. Master Inventory'!I32*1500+'1. Master Inventory'!J32*200+'1. Master Inventory'!K32*150+'1. Master Inventory'!L32*1500)/1000</f>
        <v>0</v>
      </c>
      <c r="E32" s="17" t="n">
        <v>10</v>
      </c>
      <c r="F32" s="32" t="n">
        <f aca="false">D32*E32</f>
        <v>0</v>
      </c>
      <c r="G32" s="12" t="n">
        <f aca="false">F32*30</f>
        <v>0</v>
      </c>
      <c r="H32" s="12" t="n">
        <f aca="false">F32*365</f>
        <v>0</v>
      </c>
      <c r="I32" s="34" t="n">
        <f aca="false">H32*8.5</f>
        <v>0</v>
      </c>
      <c r="J32" s="51" t="n">
        <f aca="false">IF(H$35&gt;0,H32/H$35*100,0)</f>
        <v>0</v>
      </c>
    </row>
    <row r="33" customFormat="false" ht="15" hidden="false" customHeight="false" outlineLevel="0" collapsed="false">
      <c r="A33" s="4" t="n">
        <v>29</v>
      </c>
      <c r="B33" s="48" t="n">
        <f aca="false">'1. Master Inventory'!B33</f>
        <v>0</v>
      </c>
      <c r="C33" s="27" t="n">
        <f aca="false">'1. Master Inventory'!M33</f>
        <v>0</v>
      </c>
      <c r="D33" s="28" t="n">
        <f aca="false">('1. Master Inventory'!C33*40+'1. Master Inventory'!D33*75+'1. Master Inventory'!E33*15+'1. Master Inventory'!F33*50+'1. Master Inventory'!G33*55+'1. Master Inventory'!H33*30+'1. Master Inventory'!I33*1500+'1. Master Inventory'!J33*200+'1. Master Inventory'!K33*150+'1. Master Inventory'!L33*1500)/1000</f>
        <v>0</v>
      </c>
      <c r="E33" s="15" t="n">
        <v>10</v>
      </c>
      <c r="F33" s="28" t="n">
        <f aca="false">D33*E33</f>
        <v>0</v>
      </c>
      <c r="G33" s="7" t="n">
        <f aca="false">F33*30</f>
        <v>0</v>
      </c>
      <c r="H33" s="7" t="n">
        <f aca="false">F33*365</f>
        <v>0</v>
      </c>
      <c r="I33" s="30" t="n">
        <f aca="false">H33*8.5</f>
        <v>0</v>
      </c>
      <c r="J33" s="49" t="n">
        <f aca="false">IF(H$35&gt;0,H33/H$35*100,0)</f>
        <v>0</v>
      </c>
    </row>
    <row r="34" customFormat="false" ht="15" hidden="false" customHeight="false" outlineLevel="0" collapsed="false">
      <c r="A34" s="9" t="n">
        <v>30</v>
      </c>
      <c r="B34" s="50" t="n">
        <f aca="false">'1. Master Inventory'!B34</f>
        <v>0</v>
      </c>
      <c r="C34" s="31" t="n">
        <f aca="false">'1. Master Inventory'!M34</f>
        <v>0</v>
      </c>
      <c r="D34" s="32" t="n">
        <f aca="false">('1. Master Inventory'!C34*40+'1. Master Inventory'!D34*75+'1. Master Inventory'!E34*15+'1. Master Inventory'!F34*50+'1. Master Inventory'!G34*55+'1. Master Inventory'!H34*30+'1. Master Inventory'!I34*1500+'1. Master Inventory'!J34*200+'1. Master Inventory'!K34*150+'1. Master Inventory'!L34*1500)/1000</f>
        <v>0</v>
      </c>
      <c r="E34" s="17" t="n">
        <v>10</v>
      </c>
      <c r="F34" s="32" t="n">
        <f aca="false">D34*E34</f>
        <v>0</v>
      </c>
      <c r="G34" s="12" t="n">
        <f aca="false">F34*30</f>
        <v>0</v>
      </c>
      <c r="H34" s="12" t="n">
        <f aca="false">F34*365</f>
        <v>0</v>
      </c>
      <c r="I34" s="34" t="n">
        <f aca="false">H34*8.5</f>
        <v>0</v>
      </c>
      <c r="J34" s="51" t="n">
        <f aca="false">IF(H$35&gt;0,H34/H$35*100,0)</f>
        <v>0</v>
      </c>
    </row>
    <row r="35" customFormat="false" ht="15" hidden="false" customHeight="false" outlineLevel="0" collapsed="false">
      <c r="A35" s="52"/>
      <c r="B35" s="47" t="s">
        <v>39</v>
      </c>
      <c r="C35" s="53" t="n">
        <f aca="false">SUM(C5:C34)</f>
        <v>4353</v>
      </c>
      <c r="D35" s="53" t="n">
        <f aca="false">SUM(D5:D34)</f>
        <v>504.005</v>
      </c>
      <c r="E35" s="52"/>
      <c r="F35" s="53" t="n">
        <f aca="false">SUM(F5:F34)</f>
        <v>5040.05</v>
      </c>
      <c r="G35" s="53" t="n">
        <f aca="false">SUM(G5:G34)</f>
        <v>151201.5</v>
      </c>
      <c r="H35" s="53" t="n">
        <f aca="false">SUM(H5:H34)</f>
        <v>1839618.25</v>
      </c>
      <c r="I35" s="54" t="n">
        <f aca="false">SUM(I5:I34)</f>
        <v>15636755.125</v>
      </c>
      <c r="J35" s="47" t="s">
        <v>41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5" min="4" style="0" width="20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20"/>
  </cols>
  <sheetData>
    <row r="1" customFormat="false" ht="37.5" hidden="false" customHeight="true" outlineLevel="0" collapsed="false">
      <c r="A1" s="55" t="s">
        <v>68</v>
      </c>
      <c r="B1" s="55"/>
      <c r="C1" s="55"/>
      <c r="D1" s="55"/>
      <c r="E1" s="55"/>
      <c r="F1" s="55"/>
      <c r="G1" s="55"/>
      <c r="H1" s="55"/>
    </row>
    <row r="2" customFormat="false" ht="25.5" hidden="false" customHeight="true" outlineLevel="0" collapsed="false">
      <c r="A2" s="56" t="s">
        <v>69</v>
      </c>
      <c r="B2" s="56"/>
      <c r="C2" s="56"/>
      <c r="D2" s="56"/>
      <c r="E2" s="56"/>
      <c r="F2" s="56"/>
      <c r="G2" s="56"/>
      <c r="H2" s="56"/>
    </row>
    <row r="4" customFormat="false" ht="36" hidden="false" customHeight="true" outlineLevel="0" collapsed="false">
      <c r="A4" s="57" t="s">
        <v>70</v>
      </c>
      <c r="B4" s="57" t="s">
        <v>71</v>
      </c>
      <c r="C4" s="57" t="s">
        <v>72</v>
      </c>
      <c r="D4" s="57" t="s">
        <v>73</v>
      </c>
      <c r="E4" s="57" t="s">
        <v>56</v>
      </c>
      <c r="F4" s="57" t="s">
        <v>74</v>
      </c>
      <c r="G4" s="57" t="s">
        <v>75</v>
      </c>
      <c r="H4" s="57" t="s">
        <v>54</v>
      </c>
    </row>
    <row r="5" customFormat="false" ht="23.85" hidden="false" customHeight="false" outlineLevel="0" collapsed="false">
      <c r="A5" s="4" t="n">
        <v>1</v>
      </c>
      <c r="B5" s="5" t="s">
        <v>76</v>
      </c>
      <c r="C5" s="8" t="s">
        <v>77</v>
      </c>
      <c r="D5" s="7" t="n">
        <f aca="false">'1. Master Inventory'!C35+'1. Master Inventory'!E35</f>
        <v>2548</v>
      </c>
      <c r="E5" s="28" t="n">
        <f aca="false">('1. Master Inventory'!C35*40+'1. Master Inventory'!E35*15)/1000</f>
        <v>77.42</v>
      </c>
      <c r="F5" s="49" t="n">
        <f aca="false">IF(D$11&gt;0,D5/D$11*100,0)</f>
        <v>58.5343441304847</v>
      </c>
      <c r="G5" s="49" t="n">
        <f aca="false">IF(E$11&gt;0,E5/E$11*100,0)</f>
        <v>15.3609587206476</v>
      </c>
      <c r="H5" s="30" t="n">
        <f aca="false">E5*10*365*8.5</f>
        <v>2401955.5</v>
      </c>
    </row>
    <row r="6" customFormat="false" ht="23.85" hidden="false" customHeight="false" outlineLevel="0" collapsed="false">
      <c r="A6" s="9" t="n">
        <v>2</v>
      </c>
      <c r="B6" s="10" t="s">
        <v>78</v>
      </c>
      <c r="C6" s="13" t="s">
        <v>79</v>
      </c>
      <c r="D6" s="12" t="n">
        <f aca="false">'1. Master Inventory'!D35+'1. Master Inventory'!F35+'1. Master Inventory'!G35+'1. Master Inventory'!H35</f>
        <v>1534</v>
      </c>
      <c r="E6" s="32" t="n">
        <f aca="false">('1. Master Inventory'!D35*75+'1. Master Inventory'!F35*50+'1. Master Inventory'!G35*55+'1. Master Inventory'!H35*30)/1000</f>
        <v>103.585</v>
      </c>
      <c r="F6" s="51" t="n">
        <f aca="false">IF(D$11&gt;0,D6/D$11*100,0)</f>
        <v>35.2400643234551</v>
      </c>
      <c r="G6" s="51" t="n">
        <f aca="false">IF(E$11&gt;0,E6/E$11*100,0)</f>
        <v>20.5523754724656</v>
      </c>
      <c r="H6" s="34" t="n">
        <f aca="false">E6*10*365*8.5</f>
        <v>3213724.625</v>
      </c>
    </row>
    <row r="7" customFormat="false" ht="15" hidden="false" customHeight="false" outlineLevel="0" collapsed="false">
      <c r="A7" s="4" t="n">
        <v>3</v>
      </c>
      <c r="B7" s="5" t="s">
        <v>80</v>
      </c>
      <c r="C7" s="8" t="s">
        <v>10</v>
      </c>
      <c r="D7" s="7" t="n">
        <f aca="false">'1. Master Inventory'!I35</f>
        <v>63</v>
      </c>
      <c r="E7" s="28" t="n">
        <f aca="false">'1. Master Inventory'!I35*1500/1000</f>
        <v>94.5</v>
      </c>
      <c r="F7" s="49" t="n">
        <f aca="false">IF(D$11&gt;0,D7/D$11*100,0)</f>
        <v>1.44727773949001</v>
      </c>
      <c r="G7" s="49" t="n">
        <f aca="false">IF(E$11&gt;0,E7/E$11*100,0)</f>
        <v>18.7498139899406</v>
      </c>
      <c r="H7" s="30" t="n">
        <f aca="false">E7*10*365*8.5</f>
        <v>2931862.5</v>
      </c>
    </row>
    <row r="8" customFormat="false" ht="15" hidden="false" customHeight="false" outlineLevel="0" collapsed="false">
      <c r="A8" s="9" t="n">
        <v>4</v>
      </c>
      <c r="B8" s="10" t="s">
        <v>81</v>
      </c>
      <c r="C8" s="13" t="s">
        <v>11</v>
      </c>
      <c r="D8" s="12" t="n">
        <f aca="false">'1. Master Inventory'!J35</f>
        <v>31</v>
      </c>
      <c r="E8" s="32" t="n">
        <f aca="false">'1. Master Inventory'!J35*200/1000</f>
        <v>6.2</v>
      </c>
      <c r="F8" s="51" t="n">
        <f aca="false">IF(D$11&gt;0,D8/D$11*100,0)</f>
        <v>0.71215253847921</v>
      </c>
      <c r="G8" s="51" t="n">
        <f aca="false">IF(E$11&gt;0,E8/E$11*100,0)</f>
        <v>1.23014652632414</v>
      </c>
      <c r="H8" s="34" t="n">
        <f aca="false">E8*10*365*8.5</f>
        <v>192355</v>
      </c>
    </row>
    <row r="9" customFormat="false" ht="15" hidden="false" customHeight="false" outlineLevel="0" collapsed="false">
      <c r="A9" s="4" t="n">
        <v>5</v>
      </c>
      <c r="B9" s="5" t="s">
        <v>82</v>
      </c>
      <c r="C9" s="8" t="s">
        <v>12</v>
      </c>
      <c r="D9" s="7" t="n">
        <f aca="false">'1. Master Inventory'!K35</f>
        <v>32</v>
      </c>
      <c r="E9" s="28" t="n">
        <f aca="false">'1. Master Inventory'!K35*150/1000</f>
        <v>4.8</v>
      </c>
      <c r="F9" s="49" t="n">
        <f aca="false">IF(D$11&gt;0,D9/D$11*100,0)</f>
        <v>0.735125201010797</v>
      </c>
      <c r="G9" s="49" t="n">
        <f aca="false">IF(E$11&gt;0,E9/E$11*100,0)</f>
        <v>0.95237150425095</v>
      </c>
      <c r="H9" s="30" t="n">
        <f aca="false">E9*10*365*8.5</f>
        <v>148920</v>
      </c>
    </row>
    <row r="10" customFormat="false" ht="15" hidden="false" customHeight="false" outlineLevel="0" collapsed="false">
      <c r="A10" s="9" t="n">
        <v>6</v>
      </c>
      <c r="B10" s="10" t="s">
        <v>83</v>
      </c>
      <c r="C10" s="13" t="s">
        <v>13</v>
      </c>
      <c r="D10" s="12" t="n">
        <f aca="false">'1. Master Inventory'!L35</f>
        <v>145</v>
      </c>
      <c r="E10" s="32" t="n">
        <f aca="false">'1. Master Inventory'!L35*1500/1000</f>
        <v>217.5</v>
      </c>
      <c r="F10" s="51" t="n">
        <f aca="false">IF(D$11&gt;0,D10/D$11*100,0)</f>
        <v>3.33103606708017</v>
      </c>
      <c r="G10" s="51" t="n">
        <f aca="false">IF(E$11&gt;0,E10/E$11*100,0)</f>
        <v>43.1543337863712</v>
      </c>
      <c r="H10" s="34" t="n">
        <f aca="false">E10*10*365*8.5</f>
        <v>6747937.5</v>
      </c>
    </row>
    <row r="11" customFormat="false" ht="15" hidden="false" customHeight="false" outlineLevel="0" collapsed="false">
      <c r="A11" s="58"/>
      <c r="B11" s="57" t="s">
        <v>39</v>
      </c>
      <c r="C11" s="58"/>
      <c r="D11" s="59" t="n">
        <f aca="false">SUM(D5:D10)</f>
        <v>4353</v>
      </c>
      <c r="E11" s="59" t="n">
        <f aca="false">SUM(E5:E10)</f>
        <v>504.005</v>
      </c>
      <c r="F11" s="57" t="s">
        <v>41</v>
      </c>
      <c r="G11" s="57" t="s">
        <v>41</v>
      </c>
      <c r="H11" s="60" t="n">
        <f aca="false">SUM(H5:H10)</f>
        <v>15636755.125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7" min="4" style="0" width="14"/>
    <col collapsed="false" customWidth="true" hidden="false" outlineLevel="0" max="9" min="8" style="0" width="18"/>
    <col collapsed="false" customWidth="true" hidden="false" outlineLevel="0" max="10" min="10" style="0" width="14"/>
    <col collapsed="false" customWidth="true" hidden="false" outlineLevel="0" max="11" min="11" style="0" width="22"/>
  </cols>
  <sheetData>
    <row r="1" customFormat="false" ht="37.5" hidden="false" customHeight="true" outlineLevel="0" collapsed="false">
      <c r="A1" s="61" t="s">
        <v>84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customFormat="false" ht="25.5" hidden="false" customHeight="true" outlineLevel="0" collapsed="false">
      <c r="A2" s="62" t="s">
        <v>85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4" customFormat="false" ht="36" hidden="false" customHeight="true" outlineLevel="0" collapsed="false">
      <c r="A4" s="63" t="s">
        <v>2</v>
      </c>
      <c r="B4" s="63" t="s">
        <v>86</v>
      </c>
      <c r="C4" s="63" t="s">
        <v>44</v>
      </c>
      <c r="D4" s="63" t="s">
        <v>87</v>
      </c>
      <c r="E4" s="63" t="s">
        <v>88</v>
      </c>
      <c r="F4" s="63" t="s">
        <v>89</v>
      </c>
      <c r="G4" s="63" t="s">
        <v>90</v>
      </c>
      <c r="H4" s="63" t="s">
        <v>91</v>
      </c>
      <c r="I4" s="63" t="s">
        <v>92</v>
      </c>
      <c r="J4" s="63" t="s">
        <v>93</v>
      </c>
      <c r="K4" s="63" t="s">
        <v>94</v>
      </c>
    </row>
    <row r="5" customFormat="false" ht="15" hidden="false" customHeight="false" outlineLevel="0" collapsed="false">
      <c r="A5" s="4" t="n">
        <v>1</v>
      </c>
      <c r="B5" s="15"/>
      <c r="C5" s="15"/>
      <c r="D5" s="15"/>
      <c r="E5" s="15"/>
      <c r="F5" s="15"/>
      <c r="G5" s="15"/>
      <c r="H5" s="64" t="n">
        <f aca="false">IF(D5&gt;0,E5/D5*100,0)</f>
        <v>0</v>
      </c>
      <c r="I5" s="15"/>
      <c r="J5" s="15"/>
      <c r="K5" s="15"/>
    </row>
    <row r="6" customFormat="false" ht="15" hidden="false" customHeight="false" outlineLevel="0" collapsed="false">
      <c r="A6" s="9" t="n">
        <v>2</v>
      </c>
      <c r="B6" s="17"/>
      <c r="C6" s="17"/>
      <c r="D6" s="17"/>
      <c r="E6" s="17"/>
      <c r="F6" s="17"/>
      <c r="G6" s="17"/>
      <c r="H6" s="65" t="n">
        <f aca="false">IF(D6&gt;0,E6/D6*100,0)</f>
        <v>0</v>
      </c>
      <c r="I6" s="17"/>
      <c r="J6" s="17"/>
      <c r="K6" s="17"/>
    </row>
    <row r="7" customFormat="false" ht="15" hidden="false" customHeight="false" outlineLevel="0" collapsed="false">
      <c r="A7" s="4" t="n">
        <v>3</v>
      </c>
      <c r="B7" s="15"/>
      <c r="C7" s="15"/>
      <c r="D7" s="15"/>
      <c r="E7" s="15"/>
      <c r="F7" s="15"/>
      <c r="G7" s="15"/>
      <c r="H7" s="64" t="n">
        <f aca="false">IF(D7&gt;0,E7/D7*100,0)</f>
        <v>0</v>
      </c>
      <c r="I7" s="15"/>
      <c r="J7" s="15"/>
      <c r="K7" s="15"/>
    </row>
    <row r="8" customFormat="false" ht="15" hidden="false" customHeight="false" outlineLevel="0" collapsed="false">
      <c r="A8" s="9" t="n">
        <v>4</v>
      </c>
      <c r="B8" s="17"/>
      <c r="C8" s="17"/>
      <c r="D8" s="17"/>
      <c r="E8" s="17"/>
      <c r="F8" s="17"/>
      <c r="G8" s="17"/>
      <c r="H8" s="65" t="n">
        <f aca="false">IF(D8&gt;0,E8/D8*100,0)</f>
        <v>0</v>
      </c>
      <c r="I8" s="17"/>
      <c r="J8" s="17"/>
      <c r="K8" s="17"/>
    </row>
    <row r="9" customFormat="false" ht="15" hidden="false" customHeight="false" outlineLevel="0" collapsed="false">
      <c r="A9" s="4" t="n">
        <v>5</v>
      </c>
      <c r="B9" s="15"/>
      <c r="C9" s="15"/>
      <c r="D9" s="15"/>
      <c r="E9" s="15"/>
      <c r="F9" s="15"/>
      <c r="G9" s="15"/>
      <c r="H9" s="64" t="n">
        <f aca="false">IF(D9&gt;0,E9/D9*100,0)</f>
        <v>0</v>
      </c>
      <c r="I9" s="15"/>
      <c r="J9" s="15"/>
      <c r="K9" s="15"/>
    </row>
    <row r="10" customFormat="false" ht="15" hidden="false" customHeight="false" outlineLevel="0" collapsed="false">
      <c r="A10" s="9" t="n">
        <v>6</v>
      </c>
      <c r="B10" s="17"/>
      <c r="C10" s="17"/>
      <c r="D10" s="17"/>
      <c r="E10" s="17"/>
      <c r="F10" s="17"/>
      <c r="G10" s="17"/>
      <c r="H10" s="65" t="n">
        <f aca="false">IF(D10&gt;0,E10/D10*100,0)</f>
        <v>0</v>
      </c>
      <c r="I10" s="17"/>
      <c r="J10" s="17"/>
      <c r="K10" s="17"/>
    </row>
    <row r="11" customFormat="false" ht="15" hidden="false" customHeight="false" outlineLevel="0" collapsed="false">
      <c r="A11" s="4" t="n">
        <v>7</v>
      </c>
      <c r="B11" s="15"/>
      <c r="C11" s="15"/>
      <c r="D11" s="15"/>
      <c r="E11" s="15"/>
      <c r="F11" s="15"/>
      <c r="G11" s="15"/>
      <c r="H11" s="64" t="n">
        <f aca="false">IF(D11&gt;0,E11/D11*100,0)</f>
        <v>0</v>
      </c>
      <c r="I11" s="15"/>
      <c r="J11" s="15"/>
      <c r="K11" s="15"/>
    </row>
    <row r="12" customFormat="false" ht="15" hidden="false" customHeight="false" outlineLevel="0" collapsed="false">
      <c r="A12" s="9" t="n">
        <v>8</v>
      </c>
      <c r="B12" s="17"/>
      <c r="C12" s="17"/>
      <c r="D12" s="17"/>
      <c r="E12" s="17"/>
      <c r="F12" s="17"/>
      <c r="G12" s="17"/>
      <c r="H12" s="65" t="n">
        <f aca="false">IF(D12&gt;0,E12/D12*100,0)</f>
        <v>0</v>
      </c>
      <c r="I12" s="17"/>
      <c r="J12" s="17"/>
      <c r="K12" s="17"/>
    </row>
    <row r="13" customFormat="false" ht="15" hidden="false" customHeight="false" outlineLevel="0" collapsed="false">
      <c r="A13" s="4" t="n">
        <v>9</v>
      </c>
      <c r="B13" s="15"/>
      <c r="C13" s="15"/>
      <c r="D13" s="15"/>
      <c r="E13" s="15"/>
      <c r="F13" s="15"/>
      <c r="G13" s="15"/>
      <c r="H13" s="64" t="n">
        <f aca="false">IF(D13&gt;0,E13/D13*100,0)</f>
        <v>0</v>
      </c>
      <c r="I13" s="15"/>
      <c r="J13" s="15"/>
      <c r="K13" s="15"/>
    </row>
    <row r="14" customFormat="false" ht="15" hidden="false" customHeight="false" outlineLevel="0" collapsed="false">
      <c r="A14" s="9" t="n">
        <v>10</v>
      </c>
      <c r="B14" s="17"/>
      <c r="C14" s="17"/>
      <c r="D14" s="17"/>
      <c r="E14" s="17"/>
      <c r="F14" s="17"/>
      <c r="G14" s="17"/>
      <c r="H14" s="65" t="n">
        <f aca="false">IF(D14&gt;0,E14/D14*100,0)</f>
        <v>0</v>
      </c>
      <c r="I14" s="17"/>
      <c r="J14" s="17"/>
      <c r="K14" s="17"/>
    </row>
    <row r="15" customFormat="false" ht="15" hidden="false" customHeight="false" outlineLevel="0" collapsed="false">
      <c r="A15" s="4" t="n">
        <v>11</v>
      </c>
      <c r="B15" s="15"/>
      <c r="C15" s="15"/>
      <c r="D15" s="15"/>
      <c r="E15" s="15"/>
      <c r="F15" s="15"/>
      <c r="G15" s="15"/>
      <c r="H15" s="64" t="n">
        <f aca="false">IF(D15&gt;0,E15/D15*100,0)</f>
        <v>0</v>
      </c>
      <c r="I15" s="15"/>
      <c r="J15" s="15"/>
      <c r="K15" s="15"/>
    </row>
    <row r="16" customFormat="false" ht="15" hidden="false" customHeight="false" outlineLevel="0" collapsed="false">
      <c r="A16" s="9" t="n">
        <v>12</v>
      </c>
      <c r="B16" s="17"/>
      <c r="C16" s="17"/>
      <c r="D16" s="17"/>
      <c r="E16" s="17"/>
      <c r="F16" s="17"/>
      <c r="G16" s="17"/>
      <c r="H16" s="65" t="n">
        <f aca="false">IF(D16&gt;0,E16/D16*100,0)</f>
        <v>0</v>
      </c>
      <c r="I16" s="17"/>
      <c r="J16" s="17"/>
      <c r="K16" s="17"/>
    </row>
    <row r="17" customFormat="false" ht="15" hidden="false" customHeight="false" outlineLevel="0" collapsed="false">
      <c r="A17" s="4" t="n">
        <v>13</v>
      </c>
      <c r="B17" s="15"/>
      <c r="C17" s="15"/>
      <c r="D17" s="15"/>
      <c r="E17" s="15"/>
      <c r="F17" s="15"/>
      <c r="G17" s="15"/>
      <c r="H17" s="64" t="n">
        <f aca="false">IF(D17&gt;0,E17/D17*100,0)</f>
        <v>0</v>
      </c>
      <c r="I17" s="15"/>
      <c r="J17" s="15"/>
      <c r="K17" s="15"/>
    </row>
    <row r="18" customFormat="false" ht="15" hidden="false" customHeight="false" outlineLevel="0" collapsed="false">
      <c r="A18" s="9" t="n">
        <v>14</v>
      </c>
      <c r="B18" s="17"/>
      <c r="C18" s="17"/>
      <c r="D18" s="17"/>
      <c r="E18" s="17"/>
      <c r="F18" s="17"/>
      <c r="G18" s="17"/>
      <c r="H18" s="65" t="n">
        <f aca="false">IF(D18&gt;0,E18/D18*100,0)</f>
        <v>0</v>
      </c>
      <c r="I18" s="17"/>
      <c r="J18" s="17"/>
      <c r="K18" s="17"/>
    </row>
    <row r="19" customFormat="false" ht="15" hidden="false" customHeight="false" outlineLevel="0" collapsed="false">
      <c r="A19" s="4" t="n">
        <v>15</v>
      </c>
      <c r="B19" s="15"/>
      <c r="C19" s="15"/>
      <c r="D19" s="15"/>
      <c r="E19" s="15"/>
      <c r="F19" s="15"/>
      <c r="G19" s="15"/>
      <c r="H19" s="64" t="n">
        <f aca="false">IF(D19&gt;0,E19/D19*100,0)</f>
        <v>0</v>
      </c>
      <c r="I19" s="15"/>
      <c r="J19" s="15"/>
      <c r="K19" s="15"/>
    </row>
    <row r="20" customFormat="false" ht="15" hidden="false" customHeight="false" outlineLevel="0" collapsed="false">
      <c r="A20" s="9" t="n">
        <v>16</v>
      </c>
      <c r="B20" s="17"/>
      <c r="C20" s="17"/>
      <c r="D20" s="17"/>
      <c r="E20" s="17"/>
      <c r="F20" s="17"/>
      <c r="G20" s="17"/>
      <c r="H20" s="65" t="n">
        <f aca="false">IF(D20&gt;0,E20/D20*100,0)</f>
        <v>0</v>
      </c>
      <c r="I20" s="17"/>
      <c r="J20" s="17"/>
      <c r="K20" s="17"/>
    </row>
    <row r="21" customFormat="false" ht="15" hidden="false" customHeight="false" outlineLevel="0" collapsed="false">
      <c r="A21" s="4" t="n">
        <v>17</v>
      </c>
      <c r="B21" s="15"/>
      <c r="C21" s="15"/>
      <c r="D21" s="15"/>
      <c r="E21" s="15"/>
      <c r="F21" s="15"/>
      <c r="G21" s="15"/>
      <c r="H21" s="64" t="n">
        <f aca="false">IF(D21&gt;0,E21/D21*100,0)</f>
        <v>0</v>
      </c>
      <c r="I21" s="15"/>
      <c r="J21" s="15"/>
      <c r="K21" s="15"/>
    </row>
    <row r="22" customFormat="false" ht="15" hidden="false" customHeight="false" outlineLevel="0" collapsed="false">
      <c r="A22" s="9" t="n">
        <v>18</v>
      </c>
      <c r="B22" s="17"/>
      <c r="C22" s="17"/>
      <c r="D22" s="17"/>
      <c r="E22" s="17"/>
      <c r="F22" s="17"/>
      <c r="G22" s="17"/>
      <c r="H22" s="65" t="n">
        <f aca="false">IF(D22&gt;0,E22/D22*100,0)</f>
        <v>0</v>
      </c>
      <c r="I22" s="17"/>
      <c r="J22" s="17"/>
      <c r="K22" s="17"/>
    </row>
    <row r="23" customFormat="false" ht="15" hidden="false" customHeight="false" outlineLevel="0" collapsed="false">
      <c r="A23" s="4" t="n">
        <v>19</v>
      </c>
      <c r="B23" s="15"/>
      <c r="C23" s="15"/>
      <c r="D23" s="15"/>
      <c r="E23" s="15"/>
      <c r="F23" s="15"/>
      <c r="G23" s="15"/>
      <c r="H23" s="64" t="n">
        <f aca="false">IF(D23&gt;0,E23/D23*100,0)</f>
        <v>0</v>
      </c>
      <c r="I23" s="15"/>
      <c r="J23" s="15"/>
      <c r="K23" s="15"/>
    </row>
    <row r="24" customFormat="false" ht="15" hidden="false" customHeight="false" outlineLevel="0" collapsed="false">
      <c r="A24" s="9" t="n">
        <v>20</v>
      </c>
      <c r="B24" s="17"/>
      <c r="C24" s="17"/>
      <c r="D24" s="17"/>
      <c r="E24" s="17"/>
      <c r="F24" s="17"/>
      <c r="G24" s="17"/>
      <c r="H24" s="65" t="n">
        <f aca="false">IF(D24&gt;0,E24/D24*100,0)</f>
        <v>0</v>
      </c>
      <c r="I24" s="17"/>
      <c r="J24" s="17"/>
      <c r="K24" s="17"/>
    </row>
    <row r="25" customFormat="false" ht="15" hidden="false" customHeight="false" outlineLevel="0" collapsed="false">
      <c r="A25" s="4" t="n">
        <v>21</v>
      </c>
      <c r="B25" s="15"/>
      <c r="C25" s="15"/>
      <c r="D25" s="15"/>
      <c r="E25" s="15"/>
      <c r="F25" s="15"/>
      <c r="G25" s="15"/>
      <c r="H25" s="64" t="n">
        <f aca="false">IF(D25&gt;0,E25/D25*100,0)</f>
        <v>0</v>
      </c>
      <c r="I25" s="15"/>
      <c r="J25" s="15"/>
      <c r="K25" s="15"/>
    </row>
    <row r="26" customFormat="false" ht="15" hidden="false" customHeight="false" outlineLevel="0" collapsed="false">
      <c r="A26" s="9" t="n">
        <v>22</v>
      </c>
      <c r="B26" s="17"/>
      <c r="C26" s="17"/>
      <c r="D26" s="17"/>
      <c r="E26" s="17"/>
      <c r="F26" s="17"/>
      <c r="G26" s="17"/>
      <c r="H26" s="65" t="n">
        <f aca="false">IF(D26&gt;0,E26/D26*100,0)</f>
        <v>0</v>
      </c>
      <c r="I26" s="17"/>
      <c r="J26" s="17"/>
      <c r="K26" s="17"/>
    </row>
    <row r="27" customFormat="false" ht="15" hidden="false" customHeight="false" outlineLevel="0" collapsed="false">
      <c r="A27" s="4" t="n">
        <v>23</v>
      </c>
      <c r="B27" s="15"/>
      <c r="C27" s="15"/>
      <c r="D27" s="15"/>
      <c r="E27" s="15"/>
      <c r="F27" s="15"/>
      <c r="G27" s="15"/>
      <c r="H27" s="64" t="n">
        <f aca="false">IF(D27&gt;0,E27/D27*100,0)</f>
        <v>0</v>
      </c>
      <c r="I27" s="15"/>
      <c r="J27" s="15"/>
      <c r="K27" s="15"/>
    </row>
    <row r="28" customFormat="false" ht="15" hidden="false" customHeight="false" outlineLevel="0" collapsed="false">
      <c r="A28" s="9" t="n">
        <v>24</v>
      </c>
      <c r="B28" s="17"/>
      <c r="C28" s="17"/>
      <c r="D28" s="17"/>
      <c r="E28" s="17"/>
      <c r="F28" s="17"/>
      <c r="G28" s="17"/>
      <c r="H28" s="65" t="n">
        <f aca="false">IF(D28&gt;0,E28/D28*100,0)</f>
        <v>0</v>
      </c>
      <c r="I28" s="17"/>
      <c r="J28" s="17"/>
      <c r="K28" s="17"/>
    </row>
    <row r="29" customFormat="false" ht="15" hidden="false" customHeight="false" outlineLevel="0" collapsed="false">
      <c r="A29" s="4" t="n">
        <v>25</v>
      </c>
      <c r="B29" s="15"/>
      <c r="C29" s="15"/>
      <c r="D29" s="15"/>
      <c r="E29" s="15"/>
      <c r="F29" s="15"/>
      <c r="G29" s="15"/>
      <c r="H29" s="64" t="n">
        <f aca="false">IF(D29&gt;0,E29/D29*100,0)</f>
        <v>0</v>
      </c>
      <c r="I29" s="15"/>
      <c r="J29" s="15"/>
      <c r="K29" s="15"/>
    </row>
    <row r="30" customFormat="false" ht="15" hidden="false" customHeight="false" outlineLevel="0" collapsed="false">
      <c r="A30" s="9" t="n">
        <v>26</v>
      </c>
      <c r="B30" s="17"/>
      <c r="C30" s="17"/>
      <c r="D30" s="17"/>
      <c r="E30" s="17"/>
      <c r="F30" s="17"/>
      <c r="G30" s="17"/>
      <c r="H30" s="65" t="n">
        <f aca="false">IF(D30&gt;0,E30/D30*100,0)</f>
        <v>0</v>
      </c>
      <c r="I30" s="17"/>
      <c r="J30" s="17"/>
      <c r="K30" s="17"/>
    </row>
    <row r="31" customFormat="false" ht="15" hidden="false" customHeight="false" outlineLevel="0" collapsed="false">
      <c r="A31" s="4" t="n">
        <v>27</v>
      </c>
      <c r="B31" s="15"/>
      <c r="C31" s="15"/>
      <c r="D31" s="15"/>
      <c r="E31" s="15"/>
      <c r="F31" s="15"/>
      <c r="G31" s="15"/>
      <c r="H31" s="64" t="n">
        <f aca="false">IF(D31&gt;0,E31/D31*100,0)</f>
        <v>0</v>
      </c>
      <c r="I31" s="15"/>
      <c r="J31" s="15"/>
      <c r="K31" s="15"/>
    </row>
    <row r="32" customFormat="false" ht="15" hidden="false" customHeight="false" outlineLevel="0" collapsed="false">
      <c r="A32" s="9" t="n">
        <v>28</v>
      </c>
      <c r="B32" s="17"/>
      <c r="C32" s="17"/>
      <c r="D32" s="17"/>
      <c r="E32" s="17"/>
      <c r="F32" s="17"/>
      <c r="G32" s="17"/>
      <c r="H32" s="65" t="n">
        <f aca="false">IF(D32&gt;0,E32/D32*100,0)</f>
        <v>0</v>
      </c>
      <c r="I32" s="17"/>
      <c r="J32" s="17"/>
      <c r="K32" s="17"/>
    </row>
    <row r="33" customFormat="false" ht="15" hidden="false" customHeight="false" outlineLevel="0" collapsed="false">
      <c r="A33" s="4" t="n">
        <v>29</v>
      </c>
      <c r="B33" s="15"/>
      <c r="C33" s="15"/>
      <c r="D33" s="15"/>
      <c r="E33" s="15"/>
      <c r="F33" s="15"/>
      <c r="G33" s="15"/>
      <c r="H33" s="64" t="n">
        <f aca="false">IF(D33&gt;0,E33/D33*100,0)</f>
        <v>0</v>
      </c>
      <c r="I33" s="15"/>
      <c r="J33" s="15"/>
      <c r="K33" s="15"/>
    </row>
    <row r="34" customFormat="false" ht="15" hidden="false" customHeight="false" outlineLevel="0" collapsed="false">
      <c r="A34" s="9" t="n">
        <v>30</v>
      </c>
      <c r="B34" s="17"/>
      <c r="C34" s="17"/>
      <c r="D34" s="17"/>
      <c r="E34" s="17"/>
      <c r="F34" s="17"/>
      <c r="G34" s="17"/>
      <c r="H34" s="65" t="n">
        <f aca="false">IF(D34&gt;0,E34/D34*100,0)</f>
        <v>0</v>
      </c>
      <c r="I34" s="17"/>
      <c r="J34" s="17"/>
      <c r="K34" s="17"/>
    </row>
    <row r="35" customFormat="false" ht="15" hidden="false" customHeight="false" outlineLevel="0" collapsed="false">
      <c r="A35" s="4" t="n">
        <v>31</v>
      </c>
      <c r="B35" s="15"/>
      <c r="C35" s="15"/>
      <c r="D35" s="15"/>
      <c r="E35" s="15"/>
      <c r="F35" s="15"/>
      <c r="G35" s="15"/>
      <c r="H35" s="64" t="n">
        <f aca="false">IF(D35&gt;0,E35/D35*100,0)</f>
        <v>0</v>
      </c>
      <c r="I35" s="15"/>
      <c r="J35" s="15"/>
      <c r="K35" s="15"/>
    </row>
    <row r="36" customFormat="false" ht="15" hidden="false" customHeight="false" outlineLevel="0" collapsed="false">
      <c r="A36" s="9" t="n">
        <v>32</v>
      </c>
      <c r="B36" s="17"/>
      <c r="C36" s="17"/>
      <c r="D36" s="17"/>
      <c r="E36" s="17"/>
      <c r="F36" s="17"/>
      <c r="G36" s="17"/>
      <c r="H36" s="65" t="n">
        <f aca="false">IF(D36&gt;0,E36/D36*100,0)</f>
        <v>0</v>
      </c>
      <c r="I36" s="17"/>
      <c r="J36" s="17"/>
      <c r="K36" s="17"/>
    </row>
    <row r="37" customFormat="false" ht="15" hidden="false" customHeight="false" outlineLevel="0" collapsed="false">
      <c r="A37" s="4" t="n">
        <v>33</v>
      </c>
      <c r="B37" s="15"/>
      <c r="C37" s="15"/>
      <c r="D37" s="15"/>
      <c r="E37" s="15"/>
      <c r="F37" s="15"/>
      <c r="G37" s="15"/>
      <c r="H37" s="64" t="n">
        <f aca="false">IF(D37&gt;0,E37/D37*100,0)</f>
        <v>0</v>
      </c>
      <c r="I37" s="15"/>
      <c r="J37" s="15"/>
      <c r="K37" s="15"/>
    </row>
    <row r="38" customFormat="false" ht="15" hidden="false" customHeight="false" outlineLevel="0" collapsed="false">
      <c r="A38" s="9" t="n">
        <v>34</v>
      </c>
      <c r="B38" s="17"/>
      <c r="C38" s="17"/>
      <c r="D38" s="17"/>
      <c r="E38" s="17"/>
      <c r="F38" s="17"/>
      <c r="G38" s="17"/>
      <c r="H38" s="65" t="n">
        <f aca="false">IF(D38&gt;0,E38/D38*100,0)</f>
        <v>0</v>
      </c>
      <c r="I38" s="17"/>
      <c r="J38" s="17"/>
      <c r="K38" s="17"/>
    </row>
    <row r="39" customFormat="false" ht="15" hidden="false" customHeight="false" outlineLevel="0" collapsed="false">
      <c r="A39" s="4" t="n">
        <v>35</v>
      </c>
      <c r="B39" s="15"/>
      <c r="C39" s="15"/>
      <c r="D39" s="15"/>
      <c r="E39" s="15"/>
      <c r="F39" s="15"/>
      <c r="G39" s="15"/>
      <c r="H39" s="64" t="n">
        <f aca="false">IF(D39&gt;0,E39/D39*100,0)</f>
        <v>0</v>
      </c>
      <c r="I39" s="15"/>
      <c r="J39" s="15"/>
      <c r="K39" s="15"/>
    </row>
    <row r="40" customFormat="false" ht="15" hidden="false" customHeight="false" outlineLevel="0" collapsed="false">
      <c r="A40" s="9" t="n">
        <v>36</v>
      </c>
      <c r="B40" s="17"/>
      <c r="C40" s="17"/>
      <c r="D40" s="17"/>
      <c r="E40" s="17"/>
      <c r="F40" s="17"/>
      <c r="G40" s="17"/>
      <c r="H40" s="65" t="n">
        <f aca="false">IF(D40&gt;0,E40/D40*100,0)</f>
        <v>0</v>
      </c>
      <c r="I40" s="17"/>
      <c r="J40" s="17"/>
      <c r="K40" s="17"/>
    </row>
    <row r="41" customFormat="false" ht="15" hidden="false" customHeight="false" outlineLevel="0" collapsed="false">
      <c r="A41" s="4" t="n">
        <v>37</v>
      </c>
      <c r="B41" s="15"/>
      <c r="C41" s="15"/>
      <c r="D41" s="15"/>
      <c r="E41" s="15"/>
      <c r="F41" s="15"/>
      <c r="G41" s="15"/>
      <c r="H41" s="64" t="n">
        <f aca="false">IF(D41&gt;0,E41/D41*100,0)</f>
        <v>0</v>
      </c>
      <c r="I41" s="15"/>
      <c r="J41" s="15"/>
      <c r="K41" s="15"/>
    </row>
    <row r="42" customFormat="false" ht="15" hidden="false" customHeight="false" outlineLevel="0" collapsed="false">
      <c r="A42" s="9" t="n">
        <v>38</v>
      </c>
      <c r="B42" s="17"/>
      <c r="C42" s="17"/>
      <c r="D42" s="17"/>
      <c r="E42" s="17"/>
      <c r="F42" s="17"/>
      <c r="G42" s="17"/>
      <c r="H42" s="65" t="n">
        <f aca="false">IF(D42&gt;0,E42/D42*100,0)</f>
        <v>0</v>
      </c>
      <c r="I42" s="17"/>
      <c r="J42" s="17"/>
      <c r="K42" s="17"/>
    </row>
    <row r="43" customFormat="false" ht="15" hidden="false" customHeight="false" outlineLevel="0" collapsed="false">
      <c r="A43" s="4" t="n">
        <v>39</v>
      </c>
      <c r="B43" s="15"/>
      <c r="C43" s="15"/>
      <c r="D43" s="15"/>
      <c r="E43" s="15"/>
      <c r="F43" s="15"/>
      <c r="G43" s="15"/>
      <c r="H43" s="64" t="n">
        <f aca="false">IF(D43&gt;0,E43/D43*100,0)</f>
        <v>0</v>
      </c>
      <c r="I43" s="15"/>
      <c r="J43" s="15"/>
      <c r="K43" s="15"/>
    </row>
    <row r="44" customFormat="false" ht="15" hidden="false" customHeight="false" outlineLevel="0" collapsed="false">
      <c r="A44" s="9" t="n">
        <v>40</v>
      </c>
      <c r="B44" s="17"/>
      <c r="C44" s="17"/>
      <c r="D44" s="17"/>
      <c r="E44" s="17"/>
      <c r="F44" s="17"/>
      <c r="G44" s="17"/>
      <c r="H44" s="65" t="n">
        <f aca="false">IF(D44&gt;0,E44/D44*100,0)</f>
        <v>0</v>
      </c>
      <c r="I44" s="17"/>
      <c r="J44" s="17"/>
      <c r="K44" s="17"/>
    </row>
    <row r="45" customFormat="false" ht="15" hidden="false" customHeight="false" outlineLevel="0" collapsed="false">
      <c r="A45" s="4" t="n">
        <v>41</v>
      </c>
      <c r="B45" s="15"/>
      <c r="C45" s="15"/>
      <c r="D45" s="15"/>
      <c r="E45" s="15"/>
      <c r="F45" s="15"/>
      <c r="G45" s="15"/>
      <c r="H45" s="64" t="n">
        <f aca="false">IF(D45&gt;0,E45/D45*100,0)</f>
        <v>0</v>
      </c>
      <c r="I45" s="15"/>
      <c r="J45" s="15"/>
      <c r="K45" s="15"/>
    </row>
    <row r="46" customFormat="false" ht="15" hidden="false" customHeight="false" outlineLevel="0" collapsed="false">
      <c r="A46" s="9" t="n">
        <v>42</v>
      </c>
      <c r="B46" s="17"/>
      <c r="C46" s="17"/>
      <c r="D46" s="17"/>
      <c r="E46" s="17"/>
      <c r="F46" s="17"/>
      <c r="G46" s="17"/>
      <c r="H46" s="65" t="n">
        <f aca="false">IF(D46&gt;0,E46/D46*100,0)</f>
        <v>0</v>
      </c>
      <c r="I46" s="17"/>
      <c r="J46" s="17"/>
      <c r="K46" s="17"/>
    </row>
    <row r="47" customFormat="false" ht="15" hidden="false" customHeight="false" outlineLevel="0" collapsed="false">
      <c r="A47" s="4" t="n">
        <v>43</v>
      </c>
      <c r="B47" s="15"/>
      <c r="C47" s="15"/>
      <c r="D47" s="15"/>
      <c r="E47" s="15"/>
      <c r="F47" s="15"/>
      <c r="G47" s="15"/>
      <c r="H47" s="64" t="n">
        <f aca="false">IF(D47&gt;0,E47/D47*100,0)</f>
        <v>0</v>
      </c>
      <c r="I47" s="15"/>
      <c r="J47" s="15"/>
      <c r="K47" s="15"/>
    </row>
    <row r="48" customFormat="false" ht="15" hidden="false" customHeight="false" outlineLevel="0" collapsed="false">
      <c r="A48" s="9" t="n">
        <v>44</v>
      </c>
      <c r="B48" s="17"/>
      <c r="C48" s="17"/>
      <c r="D48" s="17"/>
      <c r="E48" s="17"/>
      <c r="F48" s="17"/>
      <c r="G48" s="17"/>
      <c r="H48" s="65" t="n">
        <f aca="false">IF(D48&gt;0,E48/D48*100,0)</f>
        <v>0</v>
      </c>
      <c r="I48" s="17"/>
      <c r="J48" s="17"/>
      <c r="K48" s="17"/>
    </row>
    <row r="49" customFormat="false" ht="15" hidden="false" customHeight="false" outlineLevel="0" collapsed="false">
      <c r="A49" s="4" t="n">
        <v>45</v>
      </c>
      <c r="B49" s="15"/>
      <c r="C49" s="15"/>
      <c r="D49" s="15"/>
      <c r="E49" s="15"/>
      <c r="F49" s="15"/>
      <c r="G49" s="15"/>
      <c r="H49" s="64" t="n">
        <f aca="false">IF(D49&gt;0,E49/D49*100,0)</f>
        <v>0</v>
      </c>
      <c r="I49" s="15"/>
      <c r="J49" s="15"/>
      <c r="K49" s="15"/>
    </row>
    <row r="50" customFormat="false" ht="15" hidden="false" customHeight="false" outlineLevel="0" collapsed="false">
      <c r="A50" s="9" t="n">
        <v>46</v>
      </c>
      <c r="B50" s="17"/>
      <c r="C50" s="17"/>
      <c r="D50" s="17"/>
      <c r="E50" s="17"/>
      <c r="F50" s="17"/>
      <c r="G50" s="17"/>
      <c r="H50" s="65" t="n">
        <f aca="false">IF(D50&gt;0,E50/D50*100,0)</f>
        <v>0</v>
      </c>
      <c r="I50" s="17"/>
      <c r="J50" s="17"/>
      <c r="K50" s="17"/>
    </row>
    <row r="51" customFormat="false" ht="15" hidden="false" customHeight="false" outlineLevel="0" collapsed="false">
      <c r="A51" s="4" t="n">
        <v>47</v>
      </c>
      <c r="B51" s="15"/>
      <c r="C51" s="15"/>
      <c r="D51" s="15"/>
      <c r="E51" s="15"/>
      <c r="F51" s="15"/>
      <c r="G51" s="15"/>
      <c r="H51" s="64" t="n">
        <f aca="false">IF(D51&gt;0,E51/D51*100,0)</f>
        <v>0</v>
      </c>
      <c r="I51" s="15"/>
      <c r="J51" s="15"/>
      <c r="K51" s="15"/>
    </row>
    <row r="52" customFormat="false" ht="15" hidden="false" customHeight="false" outlineLevel="0" collapsed="false">
      <c r="A52" s="9" t="n">
        <v>48</v>
      </c>
      <c r="B52" s="17"/>
      <c r="C52" s="17"/>
      <c r="D52" s="17"/>
      <c r="E52" s="17"/>
      <c r="F52" s="17"/>
      <c r="G52" s="17"/>
      <c r="H52" s="65" t="n">
        <f aca="false">IF(D52&gt;0,E52/D52*100,0)</f>
        <v>0</v>
      </c>
      <c r="I52" s="17"/>
      <c r="J52" s="17"/>
      <c r="K52" s="17"/>
    </row>
    <row r="53" customFormat="false" ht="15" hidden="false" customHeight="false" outlineLevel="0" collapsed="false">
      <c r="A53" s="4" t="n">
        <v>49</v>
      </c>
      <c r="B53" s="15"/>
      <c r="C53" s="15"/>
      <c r="D53" s="15"/>
      <c r="E53" s="15"/>
      <c r="F53" s="15"/>
      <c r="G53" s="15"/>
      <c r="H53" s="64" t="n">
        <f aca="false">IF(D53&gt;0,E53/D53*100,0)</f>
        <v>0</v>
      </c>
      <c r="I53" s="15"/>
      <c r="J53" s="15"/>
      <c r="K53" s="15"/>
    </row>
    <row r="54" customFormat="false" ht="15" hidden="false" customHeight="false" outlineLevel="0" collapsed="false">
      <c r="A54" s="9" t="n">
        <v>50</v>
      </c>
      <c r="B54" s="17"/>
      <c r="C54" s="17"/>
      <c r="D54" s="17"/>
      <c r="E54" s="17"/>
      <c r="F54" s="17"/>
      <c r="G54" s="17"/>
      <c r="H54" s="65" t="n">
        <f aca="false">IF(D54&gt;0,E54/D54*100,0)</f>
        <v>0</v>
      </c>
      <c r="I54" s="17"/>
      <c r="J54" s="17"/>
      <c r="K54" s="17"/>
    </row>
    <row r="55" customFormat="false" ht="15" hidden="false" customHeight="false" outlineLevel="0" collapsed="false">
      <c r="A55" s="4" t="n">
        <v>51</v>
      </c>
      <c r="B55" s="15"/>
      <c r="C55" s="15"/>
      <c r="D55" s="15"/>
      <c r="E55" s="15"/>
      <c r="F55" s="15"/>
      <c r="G55" s="15"/>
      <c r="H55" s="64" t="n">
        <f aca="false">IF(D55&gt;0,E55/D55*100,0)</f>
        <v>0</v>
      </c>
      <c r="I55" s="15"/>
      <c r="J55" s="15"/>
      <c r="K55" s="15"/>
    </row>
    <row r="56" customFormat="false" ht="15" hidden="false" customHeight="false" outlineLevel="0" collapsed="false">
      <c r="A56" s="9" t="n">
        <v>52</v>
      </c>
      <c r="B56" s="17"/>
      <c r="C56" s="17"/>
      <c r="D56" s="17"/>
      <c r="E56" s="17"/>
      <c r="F56" s="17"/>
      <c r="G56" s="17"/>
      <c r="H56" s="65" t="n">
        <f aca="false">IF(D56&gt;0,E56/D56*100,0)</f>
        <v>0</v>
      </c>
      <c r="I56" s="17"/>
      <c r="J56" s="17"/>
      <c r="K56" s="17"/>
    </row>
    <row r="57" customFormat="false" ht="15" hidden="false" customHeight="false" outlineLevel="0" collapsed="false">
      <c r="A57" s="4" t="n">
        <v>53</v>
      </c>
      <c r="B57" s="15"/>
      <c r="C57" s="15"/>
      <c r="D57" s="15"/>
      <c r="E57" s="15"/>
      <c r="F57" s="15"/>
      <c r="G57" s="15"/>
      <c r="H57" s="64" t="n">
        <f aca="false">IF(D57&gt;0,E57/D57*100,0)</f>
        <v>0</v>
      </c>
      <c r="I57" s="15"/>
      <c r="J57" s="15"/>
      <c r="K57" s="15"/>
    </row>
    <row r="58" customFormat="false" ht="15" hidden="false" customHeight="false" outlineLevel="0" collapsed="false">
      <c r="A58" s="9" t="n">
        <v>54</v>
      </c>
      <c r="B58" s="17"/>
      <c r="C58" s="17"/>
      <c r="D58" s="17"/>
      <c r="E58" s="17"/>
      <c r="F58" s="17"/>
      <c r="G58" s="17"/>
      <c r="H58" s="65" t="n">
        <f aca="false">IF(D58&gt;0,E58/D58*100,0)</f>
        <v>0</v>
      </c>
      <c r="I58" s="17"/>
      <c r="J58" s="17"/>
      <c r="K58" s="17"/>
    </row>
    <row r="59" customFormat="false" ht="15" hidden="false" customHeight="false" outlineLevel="0" collapsed="false">
      <c r="A59" s="4" t="n">
        <v>55</v>
      </c>
      <c r="B59" s="15"/>
      <c r="C59" s="15"/>
      <c r="D59" s="15"/>
      <c r="E59" s="15"/>
      <c r="F59" s="15"/>
      <c r="G59" s="15"/>
      <c r="H59" s="64" t="n">
        <f aca="false">IF(D59&gt;0,E59/D59*100,0)</f>
        <v>0</v>
      </c>
      <c r="I59" s="15"/>
      <c r="J59" s="15"/>
      <c r="K59" s="15"/>
    </row>
    <row r="60" customFormat="false" ht="15" hidden="false" customHeight="false" outlineLevel="0" collapsed="false">
      <c r="A60" s="9" t="n">
        <v>56</v>
      </c>
      <c r="B60" s="17"/>
      <c r="C60" s="17"/>
      <c r="D60" s="17"/>
      <c r="E60" s="17"/>
      <c r="F60" s="17"/>
      <c r="G60" s="17"/>
      <c r="H60" s="65" t="n">
        <f aca="false">IF(D60&gt;0,E60/D60*100,0)</f>
        <v>0</v>
      </c>
      <c r="I60" s="17"/>
      <c r="J60" s="17"/>
      <c r="K60" s="17"/>
    </row>
    <row r="61" customFormat="false" ht="15" hidden="false" customHeight="false" outlineLevel="0" collapsed="false">
      <c r="A61" s="4" t="n">
        <v>57</v>
      </c>
      <c r="B61" s="15"/>
      <c r="C61" s="15"/>
      <c r="D61" s="15"/>
      <c r="E61" s="15"/>
      <c r="F61" s="15"/>
      <c r="G61" s="15"/>
      <c r="H61" s="64" t="n">
        <f aca="false">IF(D61&gt;0,E61/D61*100,0)</f>
        <v>0</v>
      </c>
      <c r="I61" s="15"/>
      <c r="J61" s="15"/>
      <c r="K61" s="15"/>
    </row>
    <row r="62" customFormat="false" ht="15" hidden="false" customHeight="false" outlineLevel="0" collapsed="false">
      <c r="A62" s="9" t="n">
        <v>58</v>
      </c>
      <c r="B62" s="17"/>
      <c r="C62" s="17"/>
      <c r="D62" s="17"/>
      <c r="E62" s="17"/>
      <c r="F62" s="17"/>
      <c r="G62" s="17"/>
      <c r="H62" s="65" t="n">
        <f aca="false">IF(D62&gt;0,E62/D62*100,0)</f>
        <v>0</v>
      </c>
      <c r="I62" s="17"/>
      <c r="J62" s="17"/>
      <c r="K62" s="17"/>
    </row>
    <row r="63" customFormat="false" ht="15" hidden="false" customHeight="false" outlineLevel="0" collapsed="false">
      <c r="A63" s="4" t="n">
        <v>59</v>
      </c>
      <c r="B63" s="15"/>
      <c r="C63" s="15"/>
      <c r="D63" s="15"/>
      <c r="E63" s="15"/>
      <c r="F63" s="15"/>
      <c r="G63" s="15"/>
      <c r="H63" s="64" t="n">
        <f aca="false">IF(D63&gt;0,E63/D63*100,0)</f>
        <v>0</v>
      </c>
      <c r="I63" s="15"/>
      <c r="J63" s="15"/>
      <c r="K63" s="15"/>
    </row>
    <row r="64" customFormat="false" ht="15" hidden="false" customHeight="false" outlineLevel="0" collapsed="false">
      <c r="A64" s="9" t="n">
        <v>60</v>
      </c>
      <c r="B64" s="17"/>
      <c r="C64" s="17"/>
      <c r="D64" s="17"/>
      <c r="E64" s="17"/>
      <c r="F64" s="17"/>
      <c r="G64" s="17"/>
      <c r="H64" s="65" t="n">
        <f aca="false">IF(D64&gt;0,E64/D64*100,0)</f>
        <v>0</v>
      </c>
      <c r="I64" s="17"/>
      <c r="J64" s="17"/>
      <c r="K64" s="17"/>
    </row>
    <row r="66" customFormat="false" ht="25.5" hidden="false" customHeight="true" outlineLevel="0" collapsed="false">
      <c r="A66" s="2" t="s">
        <v>95</v>
      </c>
      <c r="B66" s="2"/>
      <c r="C66" s="2"/>
      <c r="D66" s="2"/>
      <c r="E66" s="2"/>
      <c r="F66" s="2"/>
      <c r="G66" s="2"/>
      <c r="H66" s="2"/>
      <c r="I66" s="2"/>
      <c r="J66" s="2"/>
      <c r="K66" s="2"/>
    </row>
    <row r="67" customFormat="false" ht="15" hidden="false" customHeight="true" outlineLevel="0" collapsed="false">
      <c r="A67" s="38" t="s">
        <v>96</v>
      </c>
      <c r="B67" s="38"/>
      <c r="C67" s="38"/>
      <c r="D67" s="38"/>
      <c r="E67" s="38"/>
      <c r="F67" s="38"/>
      <c r="G67" s="41" t="n">
        <f aca="false">SUM(D5:D64)</f>
        <v>0</v>
      </c>
      <c r="H67" s="41"/>
      <c r="I67" s="41"/>
      <c r="J67" s="40"/>
      <c r="K67" s="40"/>
    </row>
    <row r="68" customFormat="false" ht="15" hidden="false" customHeight="true" outlineLevel="0" collapsed="false">
      <c r="A68" s="38" t="s">
        <v>97</v>
      </c>
      <c r="B68" s="38"/>
      <c r="C68" s="38"/>
      <c r="D68" s="38"/>
      <c r="E68" s="38"/>
      <c r="F68" s="38"/>
      <c r="G68" s="41" t="n">
        <f aca="false">SUM(E5:E64)</f>
        <v>0</v>
      </c>
      <c r="H68" s="41"/>
      <c r="I68" s="41"/>
      <c r="J68" s="40"/>
      <c r="K68" s="40"/>
    </row>
    <row r="69" customFormat="false" ht="15" hidden="false" customHeight="true" outlineLevel="0" collapsed="false">
      <c r="A69" s="38" t="s">
        <v>98</v>
      </c>
      <c r="B69" s="38"/>
      <c r="C69" s="38"/>
      <c r="D69" s="38"/>
      <c r="E69" s="38"/>
      <c r="F69" s="38"/>
      <c r="G69" s="41" t="n">
        <f aca="false">SUM(F5:F64)</f>
        <v>0</v>
      </c>
      <c r="H69" s="41"/>
      <c r="I69" s="41"/>
      <c r="J69" s="40"/>
      <c r="K69" s="40"/>
    </row>
    <row r="70" customFormat="false" ht="15" hidden="false" customHeight="true" outlineLevel="0" collapsed="false">
      <c r="A70" s="38" t="s">
        <v>99</v>
      </c>
      <c r="B70" s="38"/>
      <c r="C70" s="38"/>
      <c r="D70" s="38"/>
      <c r="E70" s="38"/>
      <c r="F70" s="38"/>
      <c r="G70" s="41" t="n">
        <f aca="false">SUMPRODUCT((G5:G64)*1)</f>
        <v>0</v>
      </c>
      <c r="H70" s="41"/>
      <c r="I70" s="41"/>
      <c r="J70" s="40"/>
      <c r="K70" s="40"/>
    </row>
    <row r="71" customFormat="false" ht="15" hidden="false" customHeight="true" outlineLevel="0" collapsed="false">
      <c r="A71" s="38" t="s">
        <v>100</v>
      </c>
      <c r="B71" s="38"/>
      <c r="C71" s="38"/>
      <c r="D71" s="38"/>
      <c r="E71" s="38"/>
      <c r="F71" s="38"/>
      <c r="G71" s="41" t="n">
        <f aca="false">IF(SUM(D5:D64)&gt;0,SUM(E5:E64)/SUM(D5:D64)*100,0)</f>
        <v>0</v>
      </c>
      <c r="H71" s="41"/>
      <c r="I71" s="41"/>
      <c r="J71" s="40"/>
      <c r="K71" s="40"/>
    </row>
    <row r="72" customFormat="false" ht="15" hidden="false" customHeight="true" outlineLevel="0" collapsed="false">
      <c r="A72" s="38" t="s">
        <v>101</v>
      </c>
      <c r="B72" s="38"/>
      <c r="C72" s="38"/>
      <c r="D72" s="38"/>
      <c r="E72" s="38"/>
      <c r="F72" s="38"/>
      <c r="G72" s="41" t="n">
        <f aca="false">SUM(I5:I64)</f>
        <v>0</v>
      </c>
      <c r="H72" s="41"/>
      <c r="I72" s="41"/>
      <c r="J72" s="40"/>
      <c r="K72" s="40"/>
    </row>
    <row r="73" customFormat="false" ht="15" hidden="false" customHeight="true" outlineLevel="0" collapsed="false">
      <c r="A73" s="38" t="s">
        <v>102</v>
      </c>
      <c r="B73" s="38"/>
      <c r="C73" s="38"/>
      <c r="D73" s="38"/>
      <c r="E73" s="38"/>
      <c r="F73" s="38"/>
      <c r="G73" s="41" t="n">
        <f aca="false">COUNTIF(J5:J64,"H")</f>
        <v>0</v>
      </c>
      <c r="H73" s="41"/>
      <c r="I73" s="41"/>
      <c r="J73" s="40"/>
      <c r="K73" s="40"/>
    </row>
  </sheetData>
  <mergeCells count="17">
    <mergeCell ref="A1:K1"/>
    <mergeCell ref="A2:K2"/>
    <mergeCell ref="A66:K66"/>
    <mergeCell ref="A67:F67"/>
    <mergeCell ref="G67:I67"/>
    <mergeCell ref="A68:F68"/>
    <mergeCell ref="G68:I68"/>
    <mergeCell ref="A69:F69"/>
    <mergeCell ref="G69:I69"/>
    <mergeCell ref="A70:F70"/>
    <mergeCell ref="G70:I70"/>
    <mergeCell ref="A71:F71"/>
    <mergeCell ref="G71:I71"/>
    <mergeCell ref="A72:F72"/>
    <mergeCell ref="G72:I72"/>
    <mergeCell ref="A73:F73"/>
    <mergeCell ref="G73:I73"/>
  </mergeCells>
  <conditionalFormatting sqref="H5:H64">
    <cfRule type="cellIs" priority="2" operator="lessThan" aboveAverage="0" equalAverage="0" bottom="0" percent="0" rank="0" text="" dxfId="0">
      <formula>70</formula>
    </cfRule>
    <cfRule type="cellIs" priority="3" operator="greaterThanOrEqual" aboveAverage="0" equalAverage="0" bottom="0" percent="0" rank="0" text="" dxfId="1">
      <formula>90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7" min="5" style="0" width="18"/>
    <col collapsed="false" customWidth="true" hidden="false" outlineLevel="0" max="10" min="8" style="0" width="20"/>
    <col collapsed="false" customWidth="true" hidden="false" outlineLevel="0" max="11" min="11" style="0" width="14"/>
  </cols>
  <sheetData>
    <row r="1" customFormat="false" ht="37.5" hidden="false" customHeight="true" outlineLevel="0" collapsed="false">
      <c r="A1" s="66" t="s">
        <v>103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customFormat="false" ht="25.5" hidden="false" customHeight="true" outlineLevel="0" collapsed="false">
      <c r="A2" s="67" t="s">
        <v>104</v>
      </c>
      <c r="B2" s="67"/>
      <c r="C2" s="67"/>
      <c r="D2" s="67"/>
      <c r="E2" s="67"/>
      <c r="F2" s="67"/>
      <c r="G2" s="67"/>
      <c r="H2" s="67"/>
      <c r="I2" s="67"/>
      <c r="J2" s="67"/>
      <c r="K2" s="67"/>
    </row>
    <row r="4" customFormat="false" ht="36" hidden="false" customHeight="true" outlineLevel="0" collapsed="false">
      <c r="A4" s="68" t="s">
        <v>2</v>
      </c>
      <c r="B4" s="68" t="s">
        <v>86</v>
      </c>
      <c r="C4" s="68" t="s">
        <v>44</v>
      </c>
      <c r="D4" s="68" t="s">
        <v>105</v>
      </c>
      <c r="E4" s="68" t="s">
        <v>106</v>
      </c>
      <c r="F4" s="68" t="s">
        <v>107</v>
      </c>
      <c r="G4" s="68" t="s">
        <v>51</v>
      </c>
      <c r="H4" s="68" t="s">
        <v>108</v>
      </c>
      <c r="I4" s="68" t="s">
        <v>109</v>
      </c>
      <c r="J4" s="68" t="s">
        <v>110</v>
      </c>
      <c r="K4" s="68" t="s">
        <v>111</v>
      </c>
    </row>
    <row r="5" customFormat="false" ht="15" hidden="false" customHeight="false" outlineLevel="0" collapsed="false">
      <c r="A5" s="4" t="n">
        <v>1</v>
      </c>
      <c r="B5" s="15"/>
      <c r="C5" s="15"/>
      <c r="D5" s="15"/>
      <c r="E5" s="15"/>
      <c r="F5" s="15"/>
      <c r="G5" s="15"/>
      <c r="H5" s="15"/>
      <c r="I5" s="7" t="n">
        <f aca="false">IF(AND(G5&gt;0,H5&gt;0),G5-H5,0)</f>
        <v>0</v>
      </c>
      <c r="J5" s="30" t="n">
        <f aca="false">I5*8.5</f>
        <v>0</v>
      </c>
      <c r="K5" s="15"/>
    </row>
    <row r="6" customFormat="false" ht="15" hidden="false" customHeight="false" outlineLevel="0" collapsed="false">
      <c r="A6" s="9" t="n">
        <v>2</v>
      </c>
      <c r="B6" s="17"/>
      <c r="C6" s="17"/>
      <c r="D6" s="17"/>
      <c r="E6" s="17"/>
      <c r="F6" s="17"/>
      <c r="G6" s="17"/>
      <c r="H6" s="17"/>
      <c r="I6" s="12" t="n">
        <f aca="false">IF(AND(G6&gt;0,H6&gt;0),G6-H6,0)</f>
        <v>0</v>
      </c>
      <c r="J6" s="34" t="n">
        <f aca="false">I6*8.5</f>
        <v>0</v>
      </c>
      <c r="K6" s="17"/>
    </row>
    <row r="7" customFormat="false" ht="15" hidden="false" customHeight="false" outlineLevel="0" collapsed="false">
      <c r="A7" s="4" t="n">
        <v>3</v>
      </c>
      <c r="B7" s="15"/>
      <c r="C7" s="15"/>
      <c r="D7" s="15"/>
      <c r="E7" s="15"/>
      <c r="F7" s="15"/>
      <c r="G7" s="15"/>
      <c r="H7" s="15"/>
      <c r="I7" s="7" t="n">
        <f aca="false">IF(AND(G7&gt;0,H7&gt;0),G7-H7,0)</f>
        <v>0</v>
      </c>
      <c r="J7" s="30" t="n">
        <f aca="false">I7*8.5</f>
        <v>0</v>
      </c>
      <c r="K7" s="15"/>
    </row>
    <row r="8" customFormat="false" ht="15" hidden="false" customHeight="false" outlineLevel="0" collapsed="false">
      <c r="A8" s="9" t="n">
        <v>4</v>
      </c>
      <c r="B8" s="17"/>
      <c r="C8" s="17"/>
      <c r="D8" s="17"/>
      <c r="E8" s="17"/>
      <c r="F8" s="17"/>
      <c r="G8" s="17"/>
      <c r="H8" s="17"/>
      <c r="I8" s="12" t="n">
        <f aca="false">IF(AND(G8&gt;0,H8&gt;0),G8-H8,0)</f>
        <v>0</v>
      </c>
      <c r="J8" s="34" t="n">
        <f aca="false">I8*8.5</f>
        <v>0</v>
      </c>
      <c r="K8" s="17"/>
    </row>
    <row r="9" customFormat="false" ht="15" hidden="false" customHeight="false" outlineLevel="0" collapsed="false">
      <c r="A9" s="4" t="n">
        <v>5</v>
      </c>
      <c r="B9" s="15"/>
      <c r="C9" s="15"/>
      <c r="D9" s="15"/>
      <c r="E9" s="15"/>
      <c r="F9" s="15"/>
      <c r="G9" s="15"/>
      <c r="H9" s="15"/>
      <c r="I9" s="7" t="n">
        <f aca="false">IF(AND(G9&gt;0,H9&gt;0),G9-H9,0)</f>
        <v>0</v>
      </c>
      <c r="J9" s="30" t="n">
        <f aca="false">I9*8.5</f>
        <v>0</v>
      </c>
      <c r="K9" s="15"/>
    </row>
    <row r="10" customFormat="false" ht="15" hidden="false" customHeight="false" outlineLevel="0" collapsed="false">
      <c r="A10" s="9" t="n">
        <v>6</v>
      </c>
      <c r="B10" s="17"/>
      <c r="C10" s="17"/>
      <c r="D10" s="17"/>
      <c r="E10" s="17"/>
      <c r="F10" s="17"/>
      <c r="G10" s="17"/>
      <c r="H10" s="17"/>
      <c r="I10" s="12" t="n">
        <f aca="false">IF(AND(G10&gt;0,H10&gt;0),G10-H10,0)</f>
        <v>0</v>
      </c>
      <c r="J10" s="34" t="n">
        <f aca="false">I10*8.5</f>
        <v>0</v>
      </c>
      <c r="K10" s="17"/>
    </row>
    <row r="11" customFormat="false" ht="15" hidden="false" customHeight="false" outlineLevel="0" collapsed="false">
      <c r="A11" s="4" t="n">
        <v>7</v>
      </c>
      <c r="B11" s="15"/>
      <c r="C11" s="15"/>
      <c r="D11" s="15"/>
      <c r="E11" s="15"/>
      <c r="F11" s="15"/>
      <c r="G11" s="15"/>
      <c r="H11" s="15"/>
      <c r="I11" s="7" t="n">
        <f aca="false">IF(AND(G11&gt;0,H11&gt;0),G11-H11,0)</f>
        <v>0</v>
      </c>
      <c r="J11" s="30" t="n">
        <f aca="false">I11*8.5</f>
        <v>0</v>
      </c>
      <c r="K11" s="15"/>
    </row>
    <row r="12" customFormat="false" ht="15" hidden="false" customHeight="false" outlineLevel="0" collapsed="false">
      <c r="A12" s="9" t="n">
        <v>8</v>
      </c>
      <c r="B12" s="17"/>
      <c r="C12" s="17"/>
      <c r="D12" s="17"/>
      <c r="E12" s="17"/>
      <c r="F12" s="17"/>
      <c r="G12" s="17"/>
      <c r="H12" s="17"/>
      <c r="I12" s="12" t="n">
        <f aca="false">IF(AND(G12&gt;0,H12&gt;0),G12-H12,0)</f>
        <v>0</v>
      </c>
      <c r="J12" s="34" t="n">
        <f aca="false">I12*8.5</f>
        <v>0</v>
      </c>
      <c r="K12" s="17"/>
    </row>
    <row r="13" customFormat="false" ht="15" hidden="false" customHeight="false" outlineLevel="0" collapsed="false">
      <c r="A13" s="4" t="n">
        <v>9</v>
      </c>
      <c r="B13" s="15"/>
      <c r="C13" s="15"/>
      <c r="D13" s="15"/>
      <c r="E13" s="15"/>
      <c r="F13" s="15"/>
      <c r="G13" s="15"/>
      <c r="H13" s="15"/>
      <c r="I13" s="7" t="n">
        <f aca="false">IF(AND(G13&gt;0,H13&gt;0),G13-H13,0)</f>
        <v>0</v>
      </c>
      <c r="J13" s="30" t="n">
        <f aca="false">I13*8.5</f>
        <v>0</v>
      </c>
      <c r="K13" s="15"/>
    </row>
    <row r="14" customFormat="false" ht="15" hidden="false" customHeight="false" outlineLevel="0" collapsed="false">
      <c r="A14" s="9" t="n">
        <v>10</v>
      </c>
      <c r="B14" s="17"/>
      <c r="C14" s="17"/>
      <c r="D14" s="17"/>
      <c r="E14" s="17"/>
      <c r="F14" s="17"/>
      <c r="G14" s="17"/>
      <c r="H14" s="17"/>
      <c r="I14" s="12" t="n">
        <f aca="false">IF(AND(G14&gt;0,H14&gt;0),G14-H14,0)</f>
        <v>0</v>
      </c>
      <c r="J14" s="34" t="n">
        <f aca="false">I14*8.5</f>
        <v>0</v>
      </c>
      <c r="K14" s="17"/>
    </row>
    <row r="15" customFormat="false" ht="15" hidden="false" customHeight="false" outlineLevel="0" collapsed="false">
      <c r="A15" s="4" t="n">
        <v>11</v>
      </c>
      <c r="B15" s="15"/>
      <c r="C15" s="15"/>
      <c r="D15" s="15"/>
      <c r="E15" s="15"/>
      <c r="F15" s="15"/>
      <c r="G15" s="15"/>
      <c r="H15" s="15"/>
      <c r="I15" s="7" t="n">
        <f aca="false">IF(AND(G15&gt;0,H15&gt;0),G15-H15,0)</f>
        <v>0</v>
      </c>
      <c r="J15" s="30" t="n">
        <f aca="false">I15*8.5</f>
        <v>0</v>
      </c>
      <c r="K15" s="15"/>
    </row>
    <row r="16" customFormat="false" ht="15" hidden="false" customHeight="false" outlineLevel="0" collapsed="false">
      <c r="A16" s="9" t="n">
        <v>12</v>
      </c>
      <c r="B16" s="17"/>
      <c r="C16" s="17"/>
      <c r="D16" s="17"/>
      <c r="E16" s="17"/>
      <c r="F16" s="17"/>
      <c r="G16" s="17"/>
      <c r="H16" s="17"/>
      <c r="I16" s="12" t="n">
        <f aca="false">IF(AND(G16&gt;0,H16&gt;0),G16-H16,0)</f>
        <v>0</v>
      </c>
      <c r="J16" s="34" t="n">
        <f aca="false">I16*8.5</f>
        <v>0</v>
      </c>
      <c r="K16" s="17"/>
    </row>
    <row r="17" customFormat="false" ht="15" hidden="false" customHeight="false" outlineLevel="0" collapsed="false">
      <c r="A17" s="4" t="n">
        <v>13</v>
      </c>
      <c r="B17" s="15"/>
      <c r="C17" s="15"/>
      <c r="D17" s="15"/>
      <c r="E17" s="15"/>
      <c r="F17" s="15"/>
      <c r="G17" s="15"/>
      <c r="H17" s="15"/>
      <c r="I17" s="7" t="n">
        <f aca="false">IF(AND(G17&gt;0,H17&gt;0),G17-H17,0)</f>
        <v>0</v>
      </c>
      <c r="J17" s="30" t="n">
        <f aca="false">I17*8.5</f>
        <v>0</v>
      </c>
      <c r="K17" s="15"/>
    </row>
    <row r="18" customFormat="false" ht="15" hidden="false" customHeight="false" outlineLevel="0" collapsed="false">
      <c r="A18" s="9" t="n">
        <v>14</v>
      </c>
      <c r="B18" s="17"/>
      <c r="C18" s="17"/>
      <c r="D18" s="17"/>
      <c r="E18" s="17"/>
      <c r="F18" s="17"/>
      <c r="G18" s="17"/>
      <c r="H18" s="17"/>
      <c r="I18" s="12" t="n">
        <f aca="false">IF(AND(G18&gt;0,H18&gt;0),G18-H18,0)</f>
        <v>0</v>
      </c>
      <c r="J18" s="34" t="n">
        <f aca="false">I18*8.5</f>
        <v>0</v>
      </c>
      <c r="K18" s="17"/>
    </row>
    <row r="19" customFormat="false" ht="15" hidden="false" customHeight="false" outlineLevel="0" collapsed="false">
      <c r="A19" s="4" t="n">
        <v>15</v>
      </c>
      <c r="B19" s="15"/>
      <c r="C19" s="15"/>
      <c r="D19" s="15"/>
      <c r="E19" s="15"/>
      <c r="F19" s="15"/>
      <c r="G19" s="15"/>
      <c r="H19" s="15"/>
      <c r="I19" s="7" t="n">
        <f aca="false">IF(AND(G19&gt;0,H19&gt;0),G19-H19,0)</f>
        <v>0</v>
      </c>
      <c r="J19" s="30" t="n">
        <f aca="false">I19*8.5</f>
        <v>0</v>
      </c>
      <c r="K19" s="15"/>
    </row>
    <row r="20" customFormat="false" ht="15" hidden="false" customHeight="false" outlineLevel="0" collapsed="false">
      <c r="A20" s="9" t="n">
        <v>16</v>
      </c>
      <c r="B20" s="17"/>
      <c r="C20" s="17"/>
      <c r="D20" s="17"/>
      <c r="E20" s="17"/>
      <c r="F20" s="17"/>
      <c r="G20" s="17"/>
      <c r="H20" s="17"/>
      <c r="I20" s="12" t="n">
        <f aca="false">IF(AND(G20&gt;0,H20&gt;0),G20-H20,0)</f>
        <v>0</v>
      </c>
      <c r="J20" s="34" t="n">
        <f aca="false">I20*8.5</f>
        <v>0</v>
      </c>
      <c r="K20" s="17"/>
    </row>
    <row r="21" customFormat="false" ht="15" hidden="false" customHeight="false" outlineLevel="0" collapsed="false">
      <c r="A21" s="4" t="n">
        <v>17</v>
      </c>
      <c r="B21" s="15"/>
      <c r="C21" s="15"/>
      <c r="D21" s="15"/>
      <c r="E21" s="15"/>
      <c r="F21" s="15"/>
      <c r="G21" s="15"/>
      <c r="H21" s="15"/>
      <c r="I21" s="7" t="n">
        <f aca="false">IF(AND(G21&gt;0,H21&gt;0),G21-H21,0)</f>
        <v>0</v>
      </c>
      <c r="J21" s="30" t="n">
        <f aca="false">I21*8.5</f>
        <v>0</v>
      </c>
      <c r="K21" s="15"/>
    </row>
    <row r="22" customFormat="false" ht="15" hidden="false" customHeight="false" outlineLevel="0" collapsed="false">
      <c r="A22" s="9" t="n">
        <v>18</v>
      </c>
      <c r="B22" s="17"/>
      <c r="C22" s="17"/>
      <c r="D22" s="17"/>
      <c r="E22" s="17"/>
      <c r="F22" s="17"/>
      <c r="G22" s="17"/>
      <c r="H22" s="17"/>
      <c r="I22" s="12" t="n">
        <f aca="false">IF(AND(G22&gt;0,H22&gt;0),G22-H22,0)</f>
        <v>0</v>
      </c>
      <c r="J22" s="34" t="n">
        <f aca="false">I22*8.5</f>
        <v>0</v>
      </c>
      <c r="K22" s="17"/>
    </row>
    <row r="23" customFormat="false" ht="15" hidden="false" customHeight="false" outlineLevel="0" collapsed="false">
      <c r="A23" s="4" t="n">
        <v>19</v>
      </c>
      <c r="B23" s="15"/>
      <c r="C23" s="15"/>
      <c r="D23" s="15"/>
      <c r="E23" s="15"/>
      <c r="F23" s="15"/>
      <c r="G23" s="15"/>
      <c r="H23" s="15"/>
      <c r="I23" s="7" t="n">
        <f aca="false">IF(AND(G23&gt;0,H23&gt;0),G23-H23,0)</f>
        <v>0</v>
      </c>
      <c r="J23" s="30" t="n">
        <f aca="false">I23*8.5</f>
        <v>0</v>
      </c>
      <c r="K23" s="15"/>
    </row>
    <row r="24" customFormat="false" ht="15" hidden="false" customHeight="false" outlineLevel="0" collapsed="false">
      <c r="A24" s="9" t="n">
        <v>20</v>
      </c>
      <c r="B24" s="17"/>
      <c r="C24" s="17"/>
      <c r="D24" s="17"/>
      <c r="E24" s="17"/>
      <c r="F24" s="17"/>
      <c r="G24" s="17"/>
      <c r="H24" s="17"/>
      <c r="I24" s="12" t="n">
        <f aca="false">IF(AND(G24&gt;0,H24&gt;0),G24-H24,0)</f>
        <v>0</v>
      </c>
      <c r="J24" s="34" t="n">
        <f aca="false">I24*8.5</f>
        <v>0</v>
      </c>
      <c r="K24" s="17"/>
    </row>
    <row r="25" customFormat="false" ht="15" hidden="false" customHeight="false" outlineLevel="0" collapsed="false">
      <c r="A25" s="4" t="n">
        <v>21</v>
      </c>
      <c r="B25" s="15"/>
      <c r="C25" s="15"/>
      <c r="D25" s="15"/>
      <c r="E25" s="15"/>
      <c r="F25" s="15"/>
      <c r="G25" s="15"/>
      <c r="H25" s="15"/>
      <c r="I25" s="7" t="n">
        <f aca="false">IF(AND(G25&gt;0,H25&gt;0),G25-H25,0)</f>
        <v>0</v>
      </c>
      <c r="J25" s="30" t="n">
        <f aca="false">I25*8.5</f>
        <v>0</v>
      </c>
      <c r="K25" s="15"/>
    </row>
    <row r="26" customFormat="false" ht="15" hidden="false" customHeight="false" outlineLevel="0" collapsed="false">
      <c r="A26" s="9" t="n">
        <v>22</v>
      </c>
      <c r="B26" s="17"/>
      <c r="C26" s="17"/>
      <c r="D26" s="17"/>
      <c r="E26" s="17"/>
      <c r="F26" s="17"/>
      <c r="G26" s="17"/>
      <c r="H26" s="17"/>
      <c r="I26" s="12" t="n">
        <f aca="false">IF(AND(G26&gt;0,H26&gt;0),G26-H26,0)</f>
        <v>0</v>
      </c>
      <c r="J26" s="34" t="n">
        <f aca="false">I26*8.5</f>
        <v>0</v>
      </c>
      <c r="K26" s="17"/>
    </row>
    <row r="27" customFormat="false" ht="15" hidden="false" customHeight="false" outlineLevel="0" collapsed="false">
      <c r="A27" s="4" t="n">
        <v>23</v>
      </c>
      <c r="B27" s="15"/>
      <c r="C27" s="15"/>
      <c r="D27" s="15"/>
      <c r="E27" s="15"/>
      <c r="F27" s="15"/>
      <c r="G27" s="15"/>
      <c r="H27" s="15"/>
      <c r="I27" s="7" t="n">
        <f aca="false">IF(AND(G27&gt;0,H27&gt;0),G27-H27,0)</f>
        <v>0</v>
      </c>
      <c r="J27" s="30" t="n">
        <f aca="false">I27*8.5</f>
        <v>0</v>
      </c>
      <c r="K27" s="15"/>
    </row>
    <row r="28" customFormat="false" ht="15" hidden="false" customHeight="false" outlineLevel="0" collapsed="false">
      <c r="A28" s="9" t="n">
        <v>24</v>
      </c>
      <c r="B28" s="17"/>
      <c r="C28" s="17"/>
      <c r="D28" s="17"/>
      <c r="E28" s="17"/>
      <c r="F28" s="17"/>
      <c r="G28" s="17"/>
      <c r="H28" s="17"/>
      <c r="I28" s="12" t="n">
        <f aca="false">IF(AND(G28&gt;0,H28&gt;0),G28-H28,0)</f>
        <v>0</v>
      </c>
      <c r="J28" s="34" t="n">
        <f aca="false">I28*8.5</f>
        <v>0</v>
      </c>
      <c r="K28" s="17"/>
    </row>
    <row r="29" customFormat="false" ht="15" hidden="false" customHeight="false" outlineLevel="0" collapsed="false">
      <c r="A29" s="4" t="n">
        <v>25</v>
      </c>
      <c r="B29" s="15"/>
      <c r="C29" s="15"/>
      <c r="D29" s="15"/>
      <c r="E29" s="15"/>
      <c r="F29" s="15"/>
      <c r="G29" s="15"/>
      <c r="H29" s="15"/>
      <c r="I29" s="7" t="n">
        <f aca="false">IF(AND(G29&gt;0,H29&gt;0),G29-H29,0)</f>
        <v>0</v>
      </c>
      <c r="J29" s="30" t="n">
        <f aca="false">I29*8.5</f>
        <v>0</v>
      </c>
      <c r="K29" s="15"/>
    </row>
    <row r="30" customFormat="false" ht="15" hidden="false" customHeight="false" outlineLevel="0" collapsed="false">
      <c r="A30" s="9" t="n">
        <v>26</v>
      </c>
      <c r="B30" s="17"/>
      <c r="C30" s="17"/>
      <c r="D30" s="17"/>
      <c r="E30" s="17"/>
      <c r="F30" s="17"/>
      <c r="G30" s="17"/>
      <c r="H30" s="17"/>
      <c r="I30" s="12" t="n">
        <f aca="false">IF(AND(G30&gt;0,H30&gt;0),G30-H30,0)</f>
        <v>0</v>
      </c>
      <c r="J30" s="34" t="n">
        <f aca="false">I30*8.5</f>
        <v>0</v>
      </c>
      <c r="K30" s="17"/>
    </row>
    <row r="31" customFormat="false" ht="15" hidden="false" customHeight="false" outlineLevel="0" collapsed="false">
      <c r="A31" s="4" t="n">
        <v>27</v>
      </c>
      <c r="B31" s="15"/>
      <c r="C31" s="15"/>
      <c r="D31" s="15"/>
      <c r="E31" s="15"/>
      <c r="F31" s="15"/>
      <c r="G31" s="15"/>
      <c r="H31" s="15"/>
      <c r="I31" s="7" t="n">
        <f aca="false">IF(AND(G31&gt;0,H31&gt;0),G31-H31,0)</f>
        <v>0</v>
      </c>
      <c r="J31" s="30" t="n">
        <f aca="false">I31*8.5</f>
        <v>0</v>
      </c>
      <c r="K31" s="15"/>
    </row>
    <row r="32" customFormat="false" ht="15" hidden="false" customHeight="false" outlineLevel="0" collapsed="false">
      <c r="A32" s="9" t="n">
        <v>28</v>
      </c>
      <c r="B32" s="17"/>
      <c r="C32" s="17"/>
      <c r="D32" s="17"/>
      <c r="E32" s="17"/>
      <c r="F32" s="17"/>
      <c r="G32" s="17"/>
      <c r="H32" s="17"/>
      <c r="I32" s="12" t="n">
        <f aca="false">IF(AND(G32&gt;0,H32&gt;0),G32-H32,0)</f>
        <v>0</v>
      </c>
      <c r="J32" s="34" t="n">
        <f aca="false">I32*8.5</f>
        <v>0</v>
      </c>
      <c r="K32" s="17"/>
    </row>
    <row r="33" customFormat="false" ht="15" hidden="false" customHeight="false" outlineLevel="0" collapsed="false">
      <c r="A33" s="4" t="n">
        <v>29</v>
      </c>
      <c r="B33" s="15"/>
      <c r="C33" s="15"/>
      <c r="D33" s="15"/>
      <c r="E33" s="15"/>
      <c r="F33" s="15"/>
      <c r="G33" s="15"/>
      <c r="H33" s="15"/>
      <c r="I33" s="7" t="n">
        <f aca="false">IF(AND(G33&gt;0,H33&gt;0),G33-H33,0)</f>
        <v>0</v>
      </c>
      <c r="J33" s="30" t="n">
        <f aca="false">I33*8.5</f>
        <v>0</v>
      </c>
      <c r="K33" s="15"/>
    </row>
    <row r="34" customFormat="false" ht="15" hidden="false" customHeight="false" outlineLevel="0" collapsed="false">
      <c r="A34" s="9" t="n">
        <v>30</v>
      </c>
      <c r="B34" s="17"/>
      <c r="C34" s="17"/>
      <c r="D34" s="17"/>
      <c r="E34" s="17"/>
      <c r="F34" s="17"/>
      <c r="G34" s="17"/>
      <c r="H34" s="17"/>
      <c r="I34" s="12" t="n">
        <f aca="false">IF(AND(G34&gt;0,H34&gt;0),G34-H34,0)</f>
        <v>0</v>
      </c>
      <c r="J34" s="34" t="n">
        <f aca="false">I34*8.5</f>
        <v>0</v>
      </c>
      <c r="K34" s="17"/>
    </row>
    <row r="35" customFormat="false" ht="15" hidden="false" customHeight="false" outlineLevel="0" collapsed="false">
      <c r="A35" s="4" t="n">
        <v>31</v>
      </c>
      <c r="B35" s="15"/>
      <c r="C35" s="15"/>
      <c r="D35" s="15"/>
      <c r="E35" s="15"/>
      <c r="F35" s="15"/>
      <c r="G35" s="15"/>
      <c r="H35" s="15"/>
      <c r="I35" s="7" t="n">
        <f aca="false">IF(AND(G35&gt;0,H35&gt;0),G35-H35,0)</f>
        <v>0</v>
      </c>
      <c r="J35" s="30" t="n">
        <f aca="false">I35*8.5</f>
        <v>0</v>
      </c>
      <c r="K35" s="15"/>
    </row>
    <row r="36" customFormat="false" ht="15" hidden="false" customHeight="false" outlineLevel="0" collapsed="false">
      <c r="A36" s="9" t="n">
        <v>32</v>
      </c>
      <c r="B36" s="17"/>
      <c r="C36" s="17"/>
      <c r="D36" s="17"/>
      <c r="E36" s="17"/>
      <c r="F36" s="17"/>
      <c r="G36" s="17"/>
      <c r="H36" s="17"/>
      <c r="I36" s="12" t="n">
        <f aca="false">IF(AND(G36&gt;0,H36&gt;0),G36-H36,0)</f>
        <v>0</v>
      </c>
      <c r="J36" s="34" t="n">
        <f aca="false">I36*8.5</f>
        <v>0</v>
      </c>
      <c r="K36" s="17"/>
    </row>
    <row r="37" customFormat="false" ht="15" hidden="false" customHeight="false" outlineLevel="0" collapsed="false">
      <c r="A37" s="4" t="n">
        <v>33</v>
      </c>
      <c r="B37" s="15"/>
      <c r="C37" s="15"/>
      <c r="D37" s="15"/>
      <c r="E37" s="15"/>
      <c r="F37" s="15"/>
      <c r="G37" s="15"/>
      <c r="H37" s="15"/>
      <c r="I37" s="7" t="n">
        <f aca="false">IF(AND(G37&gt;0,H37&gt;0),G37-H37,0)</f>
        <v>0</v>
      </c>
      <c r="J37" s="30" t="n">
        <f aca="false">I37*8.5</f>
        <v>0</v>
      </c>
      <c r="K37" s="15"/>
    </row>
    <row r="38" customFormat="false" ht="15" hidden="false" customHeight="false" outlineLevel="0" collapsed="false">
      <c r="A38" s="9" t="n">
        <v>34</v>
      </c>
      <c r="B38" s="17"/>
      <c r="C38" s="17"/>
      <c r="D38" s="17"/>
      <c r="E38" s="17"/>
      <c r="F38" s="17"/>
      <c r="G38" s="17"/>
      <c r="H38" s="17"/>
      <c r="I38" s="12" t="n">
        <f aca="false">IF(AND(G38&gt;0,H38&gt;0),G38-H38,0)</f>
        <v>0</v>
      </c>
      <c r="J38" s="34" t="n">
        <f aca="false">I38*8.5</f>
        <v>0</v>
      </c>
      <c r="K38" s="17"/>
    </row>
    <row r="39" customFormat="false" ht="15" hidden="false" customHeight="false" outlineLevel="0" collapsed="false">
      <c r="A39" s="4" t="n">
        <v>35</v>
      </c>
      <c r="B39" s="15"/>
      <c r="C39" s="15"/>
      <c r="D39" s="15"/>
      <c r="E39" s="15"/>
      <c r="F39" s="15"/>
      <c r="G39" s="15"/>
      <c r="H39" s="15"/>
      <c r="I39" s="7" t="n">
        <f aca="false">IF(AND(G39&gt;0,H39&gt;0),G39-H39,0)</f>
        <v>0</v>
      </c>
      <c r="J39" s="30" t="n">
        <f aca="false">I39*8.5</f>
        <v>0</v>
      </c>
      <c r="K39" s="15"/>
    </row>
    <row r="40" customFormat="false" ht="15" hidden="false" customHeight="false" outlineLevel="0" collapsed="false">
      <c r="A40" s="9" t="n">
        <v>36</v>
      </c>
      <c r="B40" s="17"/>
      <c r="C40" s="17"/>
      <c r="D40" s="17"/>
      <c r="E40" s="17"/>
      <c r="F40" s="17"/>
      <c r="G40" s="17"/>
      <c r="H40" s="17"/>
      <c r="I40" s="12" t="n">
        <f aca="false">IF(AND(G40&gt;0,H40&gt;0),G40-H40,0)</f>
        <v>0</v>
      </c>
      <c r="J40" s="34" t="n">
        <f aca="false">I40*8.5</f>
        <v>0</v>
      </c>
      <c r="K40" s="17"/>
    </row>
    <row r="41" customFormat="false" ht="15" hidden="false" customHeight="false" outlineLevel="0" collapsed="false">
      <c r="A41" s="4" t="n">
        <v>37</v>
      </c>
      <c r="B41" s="15"/>
      <c r="C41" s="15"/>
      <c r="D41" s="15"/>
      <c r="E41" s="15"/>
      <c r="F41" s="15"/>
      <c r="G41" s="15"/>
      <c r="H41" s="15"/>
      <c r="I41" s="7" t="n">
        <f aca="false">IF(AND(G41&gt;0,H41&gt;0),G41-H41,0)</f>
        <v>0</v>
      </c>
      <c r="J41" s="30" t="n">
        <f aca="false">I41*8.5</f>
        <v>0</v>
      </c>
      <c r="K41" s="15"/>
    </row>
    <row r="42" customFormat="false" ht="15" hidden="false" customHeight="false" outlineLevel="0" collapsed="false">
      <c r="A42" s="9" t="n">
        <v>38</v>
      </c>
      <c r="B42" s="17"/>
      <c r="C42" s="17"/>
      <c r="D42" s="17"/>
      <c r="E42" s="17"/>
      <c r="F42" s="17"/>
      <c r="G42" s="17"/>
      <c r="H42" s="17"/>
      <c r="I42" s="12" t="n">
        <f aca="false">IF(AND(G42&gt;0,H42&gt;0),G42-H42,0)</f>
        <v>0</v>
      </c>
      <c r="J42" s="34" t="n">
        <f aca="false">I42*8.5</f>
        <v>0</v>
      </c>
      <c r="K42" s="17"/>
    </row>
    <row r="43" customFormat="false" ht="15" hidden="false" customHeight="false" outlineLevel="0" collapsed="false">
      <c r="A43" s="4" t="n">
        <v>39</v>
      </c>
      <c r="B43" s="15"/>
      <c r="C43" s="15"/>
      <c r="D43" s="15"/>
      <c r="E43" s="15"/>
      <c r="F43" s="15"/>
      <c r="G43" s="15"/>
      <c r="H43" s="15"/>
      <c r="I43" s="7" t="n">
        <f aca="false">IF(AND(G43&gt;0,H43&gt;0),G43-H43,0)</f>
        <v>0</v>
      </c>
      <c r="J43" s="30" t="n">
        <f aca="false">I43*8.5</f>
        <v>0</v>
      </c>
      <c r="K43" s="15"/>
    </row>
    <row r="44" customFormat="false" ht="15" hidden="false" customHeight="false" outlineLevel="0" collapsed="false">
      <c r="A44" s="9" t="n">
        <v>40</v>
      </c>
      <c r="B44" s="17"/>
      <c r="C44" s="17"/>
      <c r="D44" s="17"/>
      <c r="E44" s="17"/>
      <c r="F44" s="17"/>
      <c r="G44" s="17"/>
      <c r="H44" s="17"/>
      <c r="I44" s="12" t="n">
        <f aca="false">IF(AND(G44&gt;0,H44&gt;0),G44-H44,0)</f>
        <v>0</v>
      </c>
      <c r="J44" s="34" t="n">
        <f aca="false">I44*8.5</f>
        <v>0</v>
      </c>
      <c r="K44" s="17"/>
    </row>
    <row r="45" customFormat="false" ht="15" hidden="false" customHeight="false" outlineLevel="0" collapsed="false">
      <c r="A45" s="4" t="n">
        <v>41</v>
      </c>
      <c r="B45" s="15"/>
      <c r="C45" s="15"/>
      <c r="D45" s="15"/>
      <c r="E45" s="15"/>
      <c r="F45" s="15"/>
      <c r="G45" s="15"/>
      <c r="H45" s="15"/>
      <c r="I45" s="7" t="n">
        <f aca="false">IF(AND(G45&gt;0,H45&gt;0),G45-H45,0)</f>
        <v>0</v>
      </c>
      <c r="J45" s="30" t="n">
        <f aca="false">I45*8.5</f>
        <v>0</v>
      </c>
      <c r="K45" s="15"/>
    </row>
    <row r="46" customFormat="false" ht="15" hidden="false" customHeight="false" outlineLevel="0" collapsed="false">
      <c r="A46" s="9" t="n">
        <v>42</v>
      </c>
      <c r="B46" s="17"/>
      <c r="C46" s="17"/>
      <c r="D46" s="17"/>
      <c r="E46" s="17"/>
      <c r="F46" s="17"/>
      <c r="G46" s="17"/>
      <c r="H46" s="17"/>
      <c r="I46" s="12" t="n">
        <f aca="false">IF(AND(G46&gt;0,H46&gt;0),G46-H46,0)</f>
        <v>0</v>
      </c>
      <c r="J46" s="34" t="n">
        <f aca="false">I46*8.5</f>
        <v>0</v>
      </c>
      <c r="K46" s="17"/>
    </row>
    <row r="47" customFormat="false" ht="15" hidden="false" customHeight="false" outlineLevel="0" collapsed="false">
      <c r="A47" s="4" t="n">
        <v>43</v>
      </c>
      <c r="B47" s="15"/>
      <c r="C47" s="15"/>
      <c r="D47" s="15"/>
      <c r="E47" s="15"/>
      <c r="F47" s="15"/>
      <c r="G47" s="15"/>
      <c r="H47" s="15"/>
      <c r="I47" s="7" t="n">
        <f aca="false">IF(AND(G47&gt;0,H47&gt;0),G47-H47,0)</f>
        <v>0</v>
      </c>
      <c r="J47" s="30" t="n">
        <f aca="false">I47*8.5</f>
        <v>0</v>
      </c>
      <c r="K47" s="15"/>
    </row>
    <row r="48" customFormat="false" ht="15" hidden="false" customHeight="false" outlineLevel="0" collapsed="false">
      <c r="A48" s="9" t="n">
        <v>44</v>
      </c>
      <c r="B48" s="17"/>
      <c r="C48" s="17"/>
      <c r="D48" s="17"/>
      <c r="E48" s="17"/>
      <c r="F48" s="17"/>
      <c r="G48" s="17"/>
      <c r="H48" s="17"/>
      <c r="I48" s="12" t="n">
        <f aca="false">IF(AND(G48&gt;0,H48&gt;0),G48-H48,0)</f>
        <v>0</v>
      </c>
      <c r="J48" s="34" t="n">
        <f aca="false">I48*8.5</f>
        <v>0</v>
      </c>
      <c r="K48" s="17"/>
    </row>
    <row r="49" customFormat="false" ht="15" hidden="false" customHeight="false" outlineLevel="0" collapsed="false">
      <c r="A49" s="4" t="n">
        <v>45</v>
      </c>
      <c r="B49" s="15"/>
      <c r="C49" s="15"/>
      <c r="D49" s="15"/>
      <c r="E49" s="15"/>
      <c r="F49" s="15"/>
      <c r="G49" s="15"/>
      <c r="H49" s="15"/>
      <c r="I49" s="7" t="n">
        <f aca="false">IF(AND(G49&gt;0,H49&gt;0),G49-H49,0)</f>
        <v>0</v>
      </c>
      <c r="J49" s="30" t="n">
        <f aca="false">I49*8.5</f>
        <v>0</v>
      </c>
      <c r="K49" s="15"/>
    </row>
    <row r="50" customFormat="false" ht="15" hidden="false" customHeight="false" outlineLevel="0" collapsed="false">
      <c r="A50" s="9" t="n">
        <v>46</v>
      </c>
      <c r="B50" s="17"/>
      <c r="C50" s="17"/>
      <c r="D50" s="17"/>
      <c r="E50" s="17"/>
      <c r="F50" s="17"/>
      <c r="G50" s="17"/>
      <c r="H50" s="17"/>
      <c r="I50" s="12" t="n">
        <f aca="false">IF(AND(G50&gt;0,H50&gt;0),G50-H50,0)</f>
        <v>0</v>
      </c>
      <c r="J50" s="34" t="n">
        <f aca="false">I50*8.5</f>
        <v>0</v>
      </c>
      <c r="K50" s="17"/>
    </row>
    <row r="51" customFormat="false" ht="15" hidden="false" customHeight="false" outlineLevel="0" collapsed="false">
      <c r="A51" s="4" t="n">
        <v>47</v>
      </c>
      <c r="B51" s="15"/>
      <c r="C51" s="15"/>
      <c r="D51" s="15"/>
      <c r="E51" s="15"/>
      <c r="F51" s="15"/>
      <c r="G51" s="15"/>
      <c r="H51" s="15"/>
      <c r="I51" s="7" t="n">
        <f aca="false">IF(AND(G51&gt;0,H51&gt;0),G51-H51,0)</f>
        <v>0</v>
      </c>
      <c r="J51" s="30" t="n">
        <f aca="false">I51*8.5</f>
        <v>0</v>
      </c>
      <c r="K51" s="15"/>
    </row>
    <row r="52" customFormat="false" ht="15" hidden="false" customHeight="false" outlineLevel="0" collapsed="false">
      <c r="A52" s="9" t="n">
        <v>48</v>
      </c>
      <c r="B52" s="17"/>
      <c r="C52" s="17"/>
      <c r="D52" s="17"/>
      <c r="E52" s="17"/>
      <c r="F52" s="17"/>
      <c r="G52" s="17"/>
      <c r="H52" s="17"/>
      <c r="I52" s="12" t="n">
        <f aca="false">IF(AND(G52&gt;0,H52&gt;0),G52-H52,0)</f>
        <v>0</v>
      </c>
      <c r="J52" s="34" t="n">
        <f aca="false">I52*8.5</f>
        <v>0</v>
      </c>
      <c r="K52" s="17"/>
    </row>
    <row r="53" customFormat="false" ht="15" hidden="false" customHeight="false" outlineLevel="0" collapsed="false">
      <c r="A53" s="4" t="n">
        <v>49</v>
      </c>
      <c r="B53" s="15"/>
      <c r="C53" s="15"/>
      <c r="D53" s="15"/>
      <c r="E53" s="15"/>
      <c r="F53" s="15"/>
      <c r="G53" s="15"/>
      <c r="H53" s="15"/>
      <c r="I53" s="7" t="n">
        <f aca="false">IF(AND(G53&gt;0,H53&gt;0),G53-H53,0)</f>
        <v>0</v>
      </c>
      <c r="J53" s="30" t="n">
        <f aca="false">I53*8.5</f>
        <v>0</v>
      </c>
      <c r="K53" s="15"/>
    </row>
    <row r="54" customFormat="false" ht="15" hidden="false" customHeight="false" outlineLevel="0" collapsed="false">
      <c r="A54" s="9" t="n">
        <v>50</v>
      </c>
      <c r="B54" s="17"/>
      <c r="C54" s="17"/>
      <c r="D54" s="17"/>
      <c r="E54" s="17"/>
      <c r="F54" s="17"/>
      <c r="G54" s="17"/>
      <c r="H54" s="17"/>
      <c r="I54" s="12" t="n">
        <f aca="false">IF(AND(G54&gt;0,H54&gt;0),G54-H54,0)</f>
        <v>0</v>
      </c>
      <c r="J54" s="34" t="n">
        <f aca="false">I54*8.5</f>
        <v>0</v>
      </c>
      <c r="K54" s="17"/>
    </row>
    <row r="56" customFormat="false" ht="25.5" hidden="false" customHeight="true" outlineLevel="0" collapsed="false">
      <c r="A56" s="2" t="s">
        <v>112</v>
      </c>
      <c r="B56" s="2"/>
      <c r="C56" s="2"/>
      <c r="D56" s="2"/>
      <c r="E56" s="2"/>
      <c r="F56" s="2"/>
      <c r="G56" s="2"/>
      <c r="H56" s="2"/>
      <c r="I56" s="2"/>
      <c r="J56" s="2"/>
      <c r="K56" s="2"/>
    </row>
    <row r="57" customFormat="false" ht="15" hidden="false" customHeight="true" outlineLevel="0" collapsed="false">
      <c r="A57" s="38" t="s">
        <v>113</v>
      </c>
      <c r="B57" s="38"/>
      <c r="C57" s="38"/>
      <c r="D57" s="38"/>
      <c r="E57" s="38"/>
      <c r="F57" s="38"/>
      <c r="G57" s="41" t="n">
        <f aca="false">COUNTA(C5:C54)</f>
        <v>0</v>
      </c>
      <c r="H57" s="41"/>
      <c r="I57" s="41"/>
      <c r="J57" s="40"/>
      <c r="K57" s="40"/>
    </row>
    <row r="58" customFormat="false" ht="15" hidden="false" customHeight="true" outlineLevel="0" collapsed="false">
      <c r="A58" s="38" t="s">
        <v>114</v>
      </c>
      <c r="B58" s="38"/>
      <c r="C58" s="38"/>
      <c r="D58" s="38"/>
      <c r="E58" s="38"/>
      <c r="F58" s="38"/>
      <c r="G58" s="41" t="n">
        <f aca="false">COUNTIF(E5:E54,5)</f>
        <v>0</v>
      </c>
      <c r="H58" s="41"/>
      <c r="I58" s="41"/>
      <c r="J58" s="40"/>
      <c r="K58" s="40"/>
    </row>
    <row r="59" customFormat="false" ht="15" hidden="false" customHeight="true" outlineLevel="0" collapsed="false">
      <c r="A59" s="38" t="s">
        <v>115</v>
      </c>
      <c r="B59" s="38"/>
      <c r="C59" s="38"/>
      <c r="D59" s="38"/>
      <c r="E59" s="38"/>
      <c r="F59" s="38"/>
      <c r="G59" s="41" t="n">
        <f aca="false">COUNTIF(E5:E54,"NA")</f>
        <v>0</v>
      </c>
      <c r="H59" s="41"/>
      <c r="I59" s="41"/>
      <c r="J59" s="40"/>
      <c r="K59" s="40"/>
    </row>
    <row r="60" customFormat="false" ht="15" hidden="false" customHeight="true" outlineLevel="0" collapsed="false">
      <c r="A60" s="38" t="s">
        <v>116</v>
      </c>
      <c r="B60" s="38"/>
      <c r="C60" s="38"/>
      <c r="D60" s="38"/>
      <c r="E60" s="38"/>
      <c r="F60" s="38"/>
      <c r="G60" s="41" t="n">
        <f aca="false">SUM(I5:I54)</f>
        <v>0</v>
      </c>
      <c r="H60" s="41"/>
      <c r="I60" s="41"/>
      <c r="J60" s="40"/>
      <c r="K60" s="40"/>
    </row>
    <row r="61" customFormat="false" ht="15" hidden="false" customHeight="true" outlineLevel="0" collapsed="false">
      <c r="A61" s="38" t="s">
        <v>117</v>
      </c>
      <c r="B61" s="38"/>
      <c r="C61" s="38"/>
      <c r="D61" s="38"/>
      <c r="E61" s="38"/>
      <c r="F61" s="38"/>
      <c r="G61" s="41" t="n">
        <f aca="false">SUM(J5:J54)</f>
        <v>0</v>
      </c>
      <c r="H61" s="41"/>
      <c r="I61" s="41"/>
      <c r="J61" s="40"/>
      <c r="K61" s="40"/>
    </row>
  </sheetData>
  <mergeCells count="13">
    <mergeCell ref="A1:K1"/>
    <mergeCell ref="A2:K2"/>
    <mergeCell ref="A56:K56"/>
    <mergeCell ref="A57:F57"/>
    <mergeCell ref="G57:I57"/>
    <mergeCell ref="A58:F58"/>
    <mergeCell ref="G58:I58"/>
    <mergeCell ref="A59:F59"/>
    <mergeCell ref="G59:I59"/>
    <mergeCell ref="A60:F60"/>
    <mergeCell ref="G60:I60"/>
    <mergeCell ref="A61:F61"/>
    <mergeCell ref="G61:I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A825"/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4" min="3" style="0" width="18"/>
    <col collapsed="false" customWidth="true" hidden="false" outlineLevel="0" max="9" min="5" style="0" width="20"/>
    <col collapsed="false" customWidth="true" hidden="false" outlineLevel="0" max="10" min="10" style="0" width="14"/>
  </cols>
  <sheetData>
    <row r="1" customFormat="false" ht="37.5" hidden="false" customHeight="true" outlineLevel="0" collapsed="false">
      <c r="A1" s="69" t="s">
        <v>118</v>
      </c>
      <c r="B1" s="69"/>
      <c r="C1" s="69"/>
      <c r="D1" s="69"/>
      <c r="E1" s="69"/>
      <c r="F1" s="69"/>
      <c r="G1" s="69"/>
      <c r="H1" s="69"/>
      <c r="I1" s="69"/>
      <c r="J1" s="69"/>
    </row>
    <row r="2" customFormat="false" ht="25.5" hidden="false" customHeight="true" outlineLevel="0" collapsed="false">
      <c r="A2" s="70" t="s">
        <v>119</v>
      </c>
      <c r="B2" s="70"/>
      <c r="C2" s="70"/>
      <c r="D2" s="70"/>
      <c r="E2" s="70"/>
      <c r="F2" s="70"/>
      <c r="G2" s="70"/>
      <c r="H2" s="70"/>
      <c r="I2" s="70"/>
      <c r="J2" s="70"/>
    </row>
    <row r="4" customFormat="false" ht="36" hidden="false" customHeight="true" outlineLevel="0" collapsed="false">
      <c r="A4" s="71" t="s">
        <v>2</v>
      </c>
      <c r="B4" s="71" t="s">
        <v>86</v>
      </c>
      <c r="C4" s="71" t="s">
        <v>120</v>
      </c>
      <c r="D4" s="71" t="s">
        <v>121</v>
      </c>
      <c r="E4" s="71" t="s">
        <v>122</v>
      </c>
      <c r="F4" s="71" t="s">
        <v>123</v>
      </c>
      <c r="G4" s="71" t="s">
        <v>124</v>
      </c>
      <c r="H4" s="71" t="s">
        <v>125</v>
      </c>
      <c r="I4" s="71" t="s">
        <v>126</v>
      </c>
      <c r="J4" s="71" t="s">
        <v>127</v>
      </c>
    </row>
    <row r="5" customFormat="false" ht="15" hidden="false" customHeight="false" outlineLevel="0" collapsed="false">
      <c r="A5" s="4" t="n">
        <v>1</v>
      </c>
      <c r="B5" s="48" t="str">
        <f aca="false">'1. Master Inventory'!B5</f>
        <v>Main Academic Block</v>
      </c>
      <c r="C5" s="72"/>
      <c r="D5" s="72"/>
      <c r="E5" s="28" t="n">
        <f aca="false">D5*0.1</f>
        <v>0</v>
      </c>
      <c r="F5" s="7" t="n">
        <f aca="false">E5*4.5*365*0.8</f>
        <v>0</v>
      </c>
      <c r="G5" s="27" t="n">
        <f aca="false">'3. Block-wise Analysis'!H5</f>
        <v>92892.5</v>
      </c>
      <c r="H5" s="49" t="n">
        <f aca="false">IF(G5&gt;0,MIN(F5/G5*100,100),0)</f>
        <v>0</v>
      </c>
      <c r="I5" s="30" t="n">
        <f aca="false">MIN(F5,G5)*8.5</f>
        <v>0</v>
      </c>
      <c r="J5" s="30" t="n">
        <f aca="false">E5*50000</f>
        <v>0</v>
      </c>
    </row>
    <row r="6" customFormat="false" ht="15" hidden="false" customHeight="false" outlineLevel="0" collapsed="false">
      <c r="A6" s="9" t="n">
        <v>2</v>
      </c>
      <c r="B6" s="50" t="str">
        <f aca="false">'1. Master Inventory'!B6</f>
        <v>Science Block</v>
      </c>
      <c r="C6" s="73"/>
      <c r="D6" s="73"/>
      <c r="E6" s="32" t="n">
        <f aca="false">D6*0.1</f>
        <v>0</v>
      </c>
      <c r="F6" s="12" t="n">
        <f aca="false">E6*4.5*365*0.8</f>
        <v>0</v>
      </c>
      <c r="G6" s="31" t="n">
        <f aca="false">'3. Block-wise Analysis'!H6</f>
        <v>73346.75</v>
      </c>
      <c r="H6" s="51" t="n">
        <f aca="false">IF(G6&gt;0,MIN(F6/G6*100,100),0)</f>
        <v>0</v>
      </c>
      <c r="I6" s="34" t="n">
        <f aca="false">MIN(F6,G6)*8.5</f>
        <v>0</v>
      </c>
      <c r="J6" s="34" t="n">
        <f aca="false">E6*50000</f>
        <v>0</v>
      </c>
    </row>
    <row r="7" customFormat="false" ht="15" hidden="false" customHeight="false" outlineLevel="0" collapsed="false">
      <c r="A7" s="4" t="n">
        <v>3</v>
      </c>
      <c r="B7" s="48" t="str">
        <f aca="false">'1. Master Inventory'!B7</f>
        <v>Engineering Block</v>
      </c>
      <c r="C7" s="72"/>
      <c r="D7" s="72"/>
      <c r="E7" s="28" t="n">
        <f aca="false">D7*0.1</f>
        <v>0</v>
      </c>
      <c r="F7" s="7" t="n">
        <f aca="false">E7*4.5*365*0.8</f>
        <v>0</v>
      </c>
      <c r="G7" s="27" t="n">
        <f aca="false">'3. Block-wise Analysis'!H7</f>
        <v>102656.25</v>
      </c>
      <c r="H7" s="49" t="n">
        <f aca="false">IF(G7&gt;0,MIN(F7/G7*100,100),0)</f>
        <v>0</v>
      </c>
      <c r="I7" s="30" t="n">
        <f aca="false">MIN(F7,G7)*8.5</f>
        <v>0</v>
      </c>
      <c r="J7" s="30" t="n">
        <f aca="false">E7*50000</f>
        <v>0</v>
      </c>
    </row>
    <row r="8" customFormat="false" ht="15" hidden="false" customHeight="false" outlineLevel="0" collapsed="false">
      <c r="A8" s="9" t="n">
        <v>4</v>
      </c>
      <c r="B8" s="50" t="str">
        <f aca="false">'1. Master Inventory'!B8</f>
        <v>Library</v>
      </c>
      <c r="C8" s="73"/>
      <c r="D8" s="73"/>
      <c r="E8" s="32" t="n">
        <f aca="false">D8*0.1</f>
        <v>0</v>
      </c>
      <c r="F8" s="12" t="n">
        <f aca="false">E8*4.5*365*0.8</f>
        <v>0</v>
      </c>
      <c r="G8" s="31" t="n">
        <f aca="false">'3. Block-wise Analysis'!H8</f>
        <v>38416.25</v>
      </c>
      <c r="H8" s="51" t="n">
        <f aca="false">IF(G8&gt;0,MIN(F8/G8*100,100),0)</f>
        <v>0</v>
      </c>
      <c r="I8" s="34" t="n">
        <f aca="false">MIN(F8,G8)*8.5</f>
        <v>0</v>
      </c>
      <c r="J8" s="34" t="n">
        <f aca="false">E8*50000</f>
        <v>0</v>
      </c>
    </row>
    <row r="9" customFormat="false" ht="15" hidden="false" customHeight="false" outlineLevel="0" collapsed="false">
      <c r="A9" s="4" t="n">
        <v>5</v>
      </c>
      <c r="B9" s="48" t="str">
        <f aca="false">'1. Master Inventory'!B9</f>
        <v>Computer Centre</v>
      </c>
      <c r="C9" s="72"/>
      <c r="D9" s="72"/>
      <c r="E9" s="28" t="n">
        <f aca="false">D9*0.1</f>
        <v>0</v>
      </c>
      <c r="F9" s="7" t="n">
        <f aca="false">E9*4.5*365*0.8</f>
        <v>0</v>
      </c>
      <c r="G9" s="27" t="n">
        <f aca="false">'3. Block-wise Analysis'!H9</f>
        <v>79789</v>
      </c>
      <c r="H9" s="49" t="n">
        <f aca="false">IF(G9&gt;0,MIN(F9/G9*100,100),0)</f>
        <v>0</v>
      </c>
      <c r="I9" s="30" t="n">
        <f aca="false">MIN(F9,G9)*8.5</f>
        <v>0</v>
      </c>
      <c r="J9" s="30" t="n">
        <f aca="false">E9*50000</f>
        <v>0</v>
      </c>
    </row>
    <row r="10" customFormat="false" ht="15" hidden="false" customHeight="false" outlineLevel="0" collapsed="false">
      <c r="A10" s="9" t="n">
        <v>6</v>
      </c>
      <c r="B10" s="50" t="str">
        <f aca="false">'1. Master Inventory'!B10</f>
        <v>Hostel – A (Boys)</v>
      </c>
      <c r="C10" s="73"/>
      <c r="D10" s="73"/>
      <c r="E10" s="32" t="n">
        <f aca="false">D10*0.1</f>
        <v>0</v>
      </c>
      <c r="F10" s="12" t="n">
        <f aca="false">E10*4.5*365*0.8</f>
        <v>0</v>
      </c>
      <c r="G10" s="31" t="n">
        <f aca="false">'3. Block-wise Analysis'!H10</f>
        <v>236483.5</v>
      </c>
      <c r="H10" s="51" t="n">
        <f aca="false">IF(G10&gt;0,MIN(F10/G10*100,100),0)</f>
        <v>0</v>
      </c>
      <c r="I10" s="34" t="n">
        <f aca="false">MIN(F10,G10)*8.5</f>
        <v>0</v>
      </c>
      <c r="J10" s="34" t="n">
        <f aca="false">E10*50000</f>
        <v>0</v>
      </c>
    </row>
    <row r="11" customFormat="false" ht="15" hidden="false" customHeight="false" outlineLevel="0" collapsed="false">
      <c r="A11" s="4" t="n">
        <v>7</v>
      </c>
      <c r="B11" s="48" t="str">
        <f aca="false">'1. Master Inventory'!B11</f>
        <v>Hostel – B (Boys)</v>
      </c>
      <c r="C11" s="72"/>
      <c r="D11" s="72"/>
      <c r="E11" s="28" t="n">
        <f aca="false">D11*0.1</f>
        <v>0</v>
      </c>
      <c r="F11" s="7" t="n">
        <f aca="false">E11*4.5*365*0.8</f>
        <v>0</v>
      </c>
      <c r="G11" s="27" t="n">
        <f aca="false">'3. Block-wise Analysis'!H11</f>
        <v>200750</v>
      </c>
      <c r="H11" s="49" t="n">
        <f aca="false">IF(G11&gt;0,MIN(F11/G11*100,100),0)</f>
        <v>0</v>
      </c>
      <c r="I11" s="30" t="n">
        <f aca="false">MIN(F11,G11)*8.5</f>
        <v>0</v>
      </c>
      <c r="J11" s="30" t="n">
        <f aca="false">E11*50000</f>
        <v>0</v>
      </c>
    </row>
    <row r="12" customFormat="false" ht="15" hidden="false" customHeight="false" outlineLevel="0" collapsed="false">
      <c r="A12" s="9" t="n">
        <v>8</v>
      </c>
      <c r="B12" s="50" t="str">
        <f aca="false">'1. Master Inventory'!B12</f>
        <v>Hostel – C (Girls)</v>
      </c>
      <c r="C12" s="73"/>
      <c r="D12" s="73"/>
      <c r="E12" s="32" t="n">
        <f aca="false">D12*0.1</f>
        <v>0</v>
      </c>
      <c r="F12" s="12" t="n">
        <f aca="false">E12*4.5*365*0.8</f>
        <v>0</v>
      </c>
      <c r="G12" s="31" t="n">
        <f aca="false">'3. Block-wise Analysis'!H12</f>
        <v>220952.75</v>
      </c>
      <c r="H12" s="51" t="n">
        <f aca="false">IF(G12&gt;0,MIN(F12/G12*100,100),0)</f>
        <v>0</v>
      </c>
      <c r="I12" s="34" t="n">
        <f aca="false">MIN(F12,G12)*8.5</f>
        <v>0</v>
      </c>
      <c r="J12" s="34" t="n">
        <f aca="false">E12*50000</f>
        <v>0</v>
      </c>
    </row>
    <row r="13" customFormat="false" ht="15" hidden="false" customHeight="false" outlineLevel="0" collapsed="false">
      <c r="A13" s="4" t="n">
        <v>9</v>
      </c>
      <c r="B13" s="48" t="str">
        <f aca="false">'1. Master Inventory'!B13</f>
        <v>Hostel – D (Girls)</v>
      </c>
      <c r="C13" s="72"/>
      <c r="D13" s="72"/>
      <c r="E13" s="28" t="n">
        <f aca="false">D13*0.1</f>
        <v>0</v>
      </c>
      <c r="F13" s="7" t="n">
        <f aca="false">E13*4.5*365*0.8</f>
        <v>0</v>
      </c>
      <c r="G13" s="27" t="n">
        <f aca="false">'3. Block-wise Analysis'!H13</f>
        <v>172973.5</v>
      </c>
      <c r="H13" s="49" t="n">
        <f aca="false">IF(G13&gt;0,MIN(F13/G13*100,100),0)</f>
        <v>0</v>
      </c>
      <c r="I13" s="30" t="n">
        <f aca="false">MIN(F13,G13)*8.5</f>
        <v>0</v>
      </c>
      <c r="J13" s="30" t="n">
        <f aca="false">E13*50000</f>
        <v>0</v>
      </c>
    </row>
    <row r="14" customFormat="false" ht="15" hidden="false" customHeight="false" outlineLevel="0" collapsed="false">
      <c r="A14" s="9" t="n">
        <v>10</v>
      </c>
      <c r="B14" s="50" t="str">
        <f aca="false">'1. Master Inventory'!B14</f>
        <v>Canteen / Mess</v>
      </c>
      <c r="C14" s="73"/>
      <c r="D14" s="73"/>
      <c r="E14" s="32" t="n">
        <f aca="false">D14*0.1</f>
        <v>0</v>
      </c>
      <c r="F14" s="12" t="n">
        <f aca="false">E14*4.5*365*0.8</f>
        <v>0</v>
      </c>
      <c r="G14" s="31" t="n">
        <f aca="false">'3. Block-wise Analysis'!H14</f>
        <v>60279.75</v>
      </c>
      <c r="H14" s="51" t="n">
        <f aca="false">IF(G14&gt;0,MIN(F14/G14*100,100),0)</f>
        <v>0</v>
      </c>
      <c r="I14" s="34" t="n">
        <f aca="false">MIN(F14,G14)*8.5</f>
        <v>0</v>
      </c>
      <c r="J14" s="34" t="n">
        <f aca="false">E14*50000</f>
        <v>0</v>
      </c>
    </row>
    <row r="15" customFormat="false" ht="15" hidden="false" customHeight="false" outlineLevel="0" collapsed="false">
      <c r="A15" s="4" t="n">
        <v>11</v>
      </c>
      <c r="B15" s="48" t="str">
        <f aca="false">'1. Master Inventory'!B15</f>
        <v>Administrative Block</v>
      </c>
      <c r="C15" s="72"/>
      <c r="D15" s="72"/>
      <c r="E15" s="28" t="n">
        <f aca="false">D15*0.1</f>
        <v>0</v>
      </c>
      <c r="F15" s="7" t="n">
        <f aca="false">E15*4.5*365*0.8</f>
        <v>0</v>
      </c>
      <c r="G15" s="27" t="n">
        <f aca="false">'3. Block-wise Analysis'!H15</f>
        <v>52961.5</v>
      </c>
      <c r="H15" s="49" t="n">
        <f aca="false">IF(G15&gt;0,MIN(F15/G15*100,100),0)</f>
        <v>0</v>
      </c>
      <c r="I15" s="30" t="n">
        <f aca="false">MIN(F15,G15)*8.5</f>
        <v>0</v>
      </c>
      <c r="J15" s="30" t="n">
        <f aca="false">E15*50000</f>
        <v>0</v>
      </c>
    </row>
    <row r="16" customFormat="false" ht="15" hidden="false" customHeight="false" outlineLevel="0" collapsed="false">
      <c r="A16" s="9" t="n">
        <v>12</v>
      </c>
      <c r="B16" s="50" t="str">
        <f aca="false">'1. Master Inventory'!B16</f>
        <v>Examination Hall</v>
      </c>
      <c r="C16" s="73"/>
      <c r="D16" s="73"/>
      <c r="E16" s="32" t="n">
        <f aca="false">D16*0.1</f>
        <v>0</v>
      </c>
      <c r="F16" s="12" t="n">
        <f aca="false">E16*4.5*365*0.8</f>
        <v>0</v>
      </c>
      <c r="G16" s="31" t="n">
        <f aca="false">'3. Block-wise Analysis'!H16</f>
        <v>68893.75</v>
      </c>
      <c r="H16" s="51" t="n">
        <f aca="false">IF(G16&gt;0,MIN(F16/G16*100,100),0)</f>
        <v>0</v>
      </c>
      <c r="I16" s="34" t="n">
        <f aca="false">MIN(F16,G16)*8.5</f>
        <v>0</v>
      </c>
      <c r="J16" s="34" t="n">
        <f aca="false">E16*50000</f>
        <v>0</v>
      </c>
    </row>
    <row r="17" customFormat="false" ht="15" hidden="false" customHeight="false" outlineLevel="0" collapsed="false">
      <c r="A17" s="4" t="n">
        <v>13</v>
      </c>
      <c r="B17" s="48" t="str">
        <f aca="false">'1. Master Inventory'!B17</f>
        <v>Auditorium / Seminar Hall</v>
      </c>
      <c r="C17" s="72"/>
      <c r="D17" s="72"/>
      <c r="E17" s="28" t="n">
        <f aca="false">D17*0.1</f>
        <v>0</v>
      </c>
      <c r="F17" s="7" t="n">
        <f aca="false">E17*4.5*365*0.8</f>
        <v>0</v>
      </c>
      <c r="G17" s="27" t="n">
        <f aca="false">'3. Block-wise Analysis'!H17</f>
        <v>44146.75</v>
      </c>
      <c r="H17" s="49" t="n">
        <f aca="false">IF(G17&gt;0,MIN(F17/G17*100,100),0)</f>
        <v>0</v>
      </c>
      <c r="I17" s="30" t="n">
        <f aca="false">MIN(F17,G17)*8.5</f>
        <v>0</v>
      </c>
      <c r="J17" s="30" t="n">
        <f aca="false">E17*50000</f>
        <v>0</v>
      </c>
    </row>
    <row r="18" customFormat="false" ht="15" hidden="false" customHeight="false" outlineLevel="0" collapsed="false">
      <c r="A18" s="9" t="n">
        <v>14</v>
      </c>
      <c r="B18" s="50" t="str">
        <f aca="false">'1. Master Inventory'!B18</f>
        <v>Workshop / Lab Complex</v>
      </c>
      <c r="C18" s="73"/>
      <c r="D18" s="73"/>
      <c r="E18" s="32" t="n">
        <f aca="false">D18*0.1</f>
        <v>0</v>
      </c>
      <c r="F18" s="12" t="n">
        <f aca="false">E18*4.5*365*0.8</f>
        <v>0</v>
      </c>
      <c r="G18" s="31" t="n">
        <f aca="false">'3. Block-wise Analysis'!H18</f>
        <v>60425.75</v>
      </c>
      <c r="H18" s="51" t="n">
        <f aca="false">IF(G18&gt;0,MIN(F18/G18*100,100),0)</f>
        <v>0</v>
      </c>
      <c r="I18" s="34" t="n">
        <f aca="false">MIN(F18,G18)*8.5</f>
        <v>0</v>
      </c>
      <c r="J18" s="34" t="n">
        <f aca="false">E18*50000</f>
        <v>0</v>
      </c>
    </row>
    <row r="19" customFormat="false" ht="15" hidden="false" customHeight="false" outlineLevel="0" collapsed="false">
      <c r="A19" s="4" t="n">
        <v>15</v>
      </c>
      <c r="B19" s="48" t="str">
        <f aca="false">'1. Master Inventory'!B19</f>
        <v>Sports Complex / Gym</v>
      </c>
      <c r="C19" s="72"/>
      <c r="D19" s="72"/>
      <c r="E19" s="28" t="n">
        <f aca="false">D19*0.1</f>
        <v>0</v>
      </c>
      <c r="F19" s="7" t="n">
        <f aca="false">E19*4.5*365*0.8</f>
        <v>0</v>
      </c>
      <c r="G19" s="27" t="n">
        <f aca="false">'3. Block-wise Analysis'!H19</f>
        <v>39620.75</v>
      </c>
      <c r="H19" s="49" t="n">
        <f aca="false">IF(G19&gt;0,MIN(F19/G19*100,100),0)</f>
        <v>0</v>
      </c>
      <c r="I19" s="30" t="n">
        <f aca="false">MIN(F19,G19)*8.5</f>
        <v>0</v>
      </c>
      <c r="J19" s="30" t="n">
        <f aca="false">E19*50000</f>
        <v>0</v>
      </c>
    </row>
    <row r="20" customFormat="false" ht="15" hidden="false" customHeight="false" outlineLevel="0" collapsed="false">
      <c r="A20" s="9" t="n">
        <v>16</v>
      </c>
      <c r="B20" s="50" t="str">
        <f aca="false">'1. Master Inventory'!B20</f>
        <v>Staff Quarters – Block A</v>
      </c>
      <c r="C20" s="73"/>
      <c r="D20" s="73"/>
      <c r="E20" s="32" t="n">
        <f aca="false">D20*0.1</f>
        <v>0</v>
      </c>
      <c r="F20" s="12" t="n">
        <f aca="false">E20*4.5*365*0.8</f>
        <v>0</v>
      </c>
      <c r="G20" s="31" t="n">
        <f aca="false">'3. Block-wise Analysis'!H20</f>
        <v>115139.25</v>
      </c>
      <c r="H20" s="51" t="n">
        <f aca="false">IF(G20&gt;0,MIN(F20/G20*100,100),0)</f>
        <v>0</v>
      </c>
      <c r="I20" s="34" t="n">
        <f aca="false">MIN(F20,G20)*8.5</f>
        <v>0</v>
      </c>
      <c r="J20" s="34" t="n">
        <f aca="false">E20*50000</f>
        <v>0</v>
      </c>
    </row>
    <row r="21" customFormat="false" ht="15" hidden="false" customHeight="false" outlineLevel="0" collapsed="false">
      <c r="A21" s="4" t="n">
        <v>17</v>
      </c>
      <c r="B21" s="48" t="str">
        <f aca="false">'1. Master Inventory'!B21</f>
        <v>Staff Quarters – Block B</v>
      </c>
      <c r="C21" s="72"/>
      <c r="D21" s="72"/>
      <c r="E21" s="28" t="n">
        <f aca="false">D21*0.1</f>
        <v>0</v>
      </c>
      <c r="F21" s="7" t="n">
        <f aca="false">E21*4.5*365*0.8</f>
        <v>0</v>
      </c>
      <c r="G21" s="27" t="n">
        <f aca="false">'3. Block-wise Analysis'!H21</f>
        <v>93659</v>
      </c>
      <c r="H21" s="49" t="n">
        <f aca="false">IF(G21&gt;0,MIN(F21/G21*100,100),0)</f>
        <v>0</v>
      </c>
      <c r="I21" s="30" t="n">
        <f aca="false">MIN(F21,G21)*8.5</f>
        <v>0</v>
      </c>
      <c r="J21" s="30" t="n">
        <f aca="false">E21*50000</f>
        <v>0</v>
      </c>
    </row>
    <row r="22" customFormat="false" ht="15" hidden="false" customHeight="false" outlineLevel="0" collapsed="false">
      <c r="A22" s="9" t="n">
        <v>18</v>
      </c>
      <c r="B22" s="50" t="str">
        <f aca="false">'1. Master Inventory'!B22</f>
        <v>Guest House</v>
      </c>
      <c r="C22" s="73"/>
      <c r="D22" s="73"/>
      <c r="E22" s="32" t="n">
        <f aca="false">D22*0.1</f>
        <v>0</v>
      </c>
      <c r="F22" s="12" t="n">
        <f aca="false">E22*4.5*365*0.8</f>
        <v>0</v>
      </c>
      <c r="G22" s="31" t="n">
        <f aca="false">'3. Block-wise Analysis'!H22</f>
        <v>45698</v>
      </c>
      <c r="H22" s="51" t="n">
        <f aca="false">IF(G22&gt;0,MIN(F22/G22*100,100),0)</f>
        <v>0</v>
      </c>
      <c r="I22" s="34" t="n">
        <f aca="false">MIN(F22,G22)*8.5</f>
        <v>0</v>
      </c>
      <c r="J22" s="34" t="n">
        <f aca="false">E22*50000</f>
        <v>0</v>
      </c>
    </row>
    <row r="23" customFormat="false" ht="15" hidden="false" customHeight="false" outlineLevel="0" collapsed="false">
      <c r="A23" s="4" t="n">
        <v>19</v>
      </c>
      <c r="B23" s="48" t="str">
        <f aca="false">'1. Master Inventory'!B23</f>
        <v>Health Centre / Dispensary</v>
      </c>
      <c r="C23" s="72"/>
      <c r="D23" s="72"/>
      <c r="E23" s="28" t="n">
        <f aca="false">D23*0.1</f>
        <v>0</v>
      </c>
      <c r="F23" s="7" t="n">
        <f aca="false">E23*4.5*365*0.8</f>
        <v>0</v>
      </c>
      <c r="G23" s="27" t="n">
        <f aca="false">'3. Block-wise Analysis'!H23</f>
        <v>30477.5</v>
      </c>
      <c r="H23" s="49" t="n">
        <f aca="false">IF(G23&gt;0,MIN(F23/G23*100,100),0)</f>
        <v>0</v>
      </c>
      <c r="I23" s="30" t="n">
        <f aca="false">MIN(F23,G23)*8.5</f>
        <v>0</v>
      </c>
      <c r="J23" s="30" t="n">
        <f aca="false">E23*50000</f>
        <v>0</v>
      </c>
    </row>
    <row r="24" customFormat="false" ht="15" hidden="false" customHeight="false" outlineLevel="0" collapsed="false">
      <c r="A24" s="9" t="n">
        <v>20</v>
      </c>
      <c r="B24" s="50" t="str">
        <f aca="false">'1. Master Inventory'!B24</f>
        <v>Security / Gate Office</v>
      </c>
      <c r="C24" s="73"/>
      <c r="D24" s="73"/>
      <c r="E24" s="32" t="n">
        <f aca="false">D24*0.1</f>
        <v>0</v>
      </c>
      <c r="F24" s="12" t="n">
        <f aca="false">E24*4.5*365*0.8</f>
        <v>0</v>
      </c>
      <c r="G24" s="31" t="n">
        <f aca="false">'3. Block-wise Analysis'!H24</f>
        <v>10055.75</v>
      </c>
      <c r="H24" s="51" t="n">
        <f aca="false">IF(G24&gt;0,MIN(F24/G24*100,100),0)</f>
        <v>0</v>
      </c>
      <c r="I24" s="34" t="n">
        <f aca="false">MIN(F24,G24)*8.5</f>
        <v>0</v>
      </c>
      <c r="J24" s="34" t="n">
        <f aca="false">E24*50000</f>
        <v>0</v>
      </c>
    </row>
    <row r="25" customFormat="false" ht="15" hidden="false" customHeight="false" outlineLevel="0" collapsed="false">
      <c r="A25" s="4" t="n">
        <v>21</v>
      </c>
      <c r="B25" s="48" t="n">
        <f aca="false">'1. Master Inventory'!B25</f>
        <v>0</v>
      </c>
      <c r="C25" s="72"/>
      <c r="D25" s="72"/>
      <c r="E25" s="28" t="n">
        <f aca="false">D25*0.1</f>
        <v>0</v>
      </c>
      <c r="F25" s="7" t="n">
        <f aca="false">E25*4.5*365*0.8</f>
        <v>0</v>
      </c>
      <c r="G25" s="27" t="n">
        <f aca="false">'3. Block-wise Analysis'!H25</f>
        <v>0</v>
      </c>
      <c r="H25" s="49" t="n">
        <f aca="false">IF(G25&gt;0,MIN(F25/G25*100,100),0)</f>
        <v>0</v>
      </c>
      <c r="I25" s="30" t="n">
        <f aca="false">MIN(F25,G25)*8.5</f>
        <v>0</v>
      </c>
      <c r="J25" s="30" t="n">
        <f aca="false">E25*50000</f>
        <v>0</v>
      </c>
    </row>
    <row r="26" customFormat="false" ht="15" hidden="false" customHeight="false" outlineLevel="0" collapsed="false">
      <c r="A26" s="9" t="n">
        <v>22</v>
      </c>
      <c r="B26" s="50" t="n">
        <f aca="false">'1. Master Inventory'!B26</f>
        <v>0</v>
      </c>
      <c r="C26" s="73"/>
      <c r="D26" s="73"/>
      <c r="E26" s="32" t="n">
        <f aca="false">D26*0.1</f>
        <v>0</v>
      </c>
      <c r="F26" s="12" t="n">
        <f aca="false">E26*4.5*365*0.8</f>
        <v>0</v>
      </c>
      <c r="G26" s="31" t="n">
        <f aca="false">'3. Block-wise Analysis'!H26</f>
        <v>0</v>
      </c>
      <c r="H26" s="51" t="n">
        <f aca="false">IF(G26&gt;0,MIN(F26/G26*100,100),0)</f>
        <v>0</v>
      </c>
      <c r="I26" s="34" t="n">
        <f aca="false">MIN(F26,G26)*8.5</f>
        <v>0</v>
      </c>
      <c r="J26" s="34" t="n">
        <f aca="false">E26*50000</f>
        <v>0</v>
      </c>
    </row>
    <row r="27" customFormat="false" ht="15" hidden="false" customHeight="false" outlineLevel="0" collapsed="false">
      <c r="A27" s="4" t="n">
        <v>23</v>
      </c>
      <c r="B27" s="48" t="n">
        <f aca="false">'1. Master Inventory'!B27</f>
        <v>0</v>
      </c>
      <c r="C27" s="72"/>
      <c r="D27" s="72"/>
      <c r="E27" s="28" t="n">
        <f aca="false">D27*0.1</f>
        <v>0</v>
      </c>
      <c r="F27" s="7" t="n">
        <f aca="false">E27*4.5*365*0.8</f>
        <v>0</v>
      </c>
      <c r="G27" s="27" t="n">
        <f aca="false">'3. Block-wise Analysis'!H27</f>
        <v>0</v>
      </c>
      <c r="H27" s="49" t="n">
        <f aca="false">IF(G27&gt;0,MIN(F27/G27*100,100),0)</f>
        <v>0</v>
      </c>
      <c r="I27" s="30" t="n">
        <f aca="false">MIN(F27,G27)*8.5</f>
        <v>0</v>
      </c>
      <c r="J27" s="30" t="n">
        <f aca="false">E27*50000</f>
        <v>0</v>
      </c>
    </row>
    <row r="28" customFormat="false" ht="15" hidden="false" customHeight="false" outlineLevel="0" collapsed="false">
      <c r="A28" s="9" t="n">
        <v>24</v>
      </c>
      <c r="B28" s="50" t="n">
        <f aca="false">'1. Master Inventory'!B28</f>
        <v>0</v>
      </c>
      <c r="C28" s="73"/>
      <c r="D28" s="73"/>
      <c r="E28" s="32" t="n">
        <f aca="false">D28*0.1</f>
        <v>0</v>
      </c>
      <c r="F28" s="12" t="n">
        <f aca="false">E28*4.5*365*0.8</f>
        <v>0</v>
      </c>
      <c r="G28" s="31" t="n">
        <f aca="false">'3. Block-wise Analysis'!H28</f>
        <v>0</v>
      </c>
      <c r="H28" s="51" t="n">
        <f aca="false">IF(G28&gt;0,MIN(F28/G28*100,100),0)</f>
        <v>0</v>
      </c>
      <c r="I28" s="34" t="n">
        <f aca="false">MIN(F28,G28)*8.5</f>
        <v>0</v>
      </c>
      <c r="J28" s="34" t="n">
        <f aca="false">E28*50000</f>
        <v>0</v>
      </c>
    </row>
    <row r="29" customFormat="false" ht="15" hidden="false" customHeight="false" outlineLevel="0" collapsed="false">
      <c r="A29" s="4" t="n">
        <v>25</v>
      </c>
      <c r="B29" s="48" t="n">
        <f aca="false">'1. Master Inventory'!B29</f>
        <v>0</v>
      </c>
      <c r="C29" s="72"/>
      <c r="D29" s="72"/>
      <c r="E29" s="28" t="n">
        <f aca="false">D29*0.1</f>
        <v>0</v>
      </c>
      <c r="F29" s="7" t="n">
        <f aca="false">E29*4.5*365*0.8</f>
        <v>0</v>
      </c>
      <c r="G29" s="27" t="n">
        <f aca="false">'3. Block-wise Analysis'!H29</f>
        <v>0</v>
      </c>
      <c r="H29" s="49" t="n">
        <f aca="false">IF(G29&gt;0,MIN(F29/G29*100,100),0)</f>
        <v>0</v>
      </c>
      <c r="I29" s="30" t="n">
        <f aca="false">MIN(F29,G29)*8.5</f>
        <v>0</v>
      </c>
      <c r="J29" s="30" t="n">
        <f aca="false">E29*50000</f>
        <v>0</v>
      </c>
    </row>
    <row r="30" customFormat="false" ht="15" hidden="false" customHeight="false" outlineLevel="0" collapsed="false">
      <c r="A30" s="9" t="n">
        <v>26</v>
      </c>
      <c r="B30" s="50" t="n">
        <f aca="false">'1. Master Inventory'!B30</f>
        <v>0</v>
      </c>
      <c r="C30" s="73"/>
      <c r="D30" s="73"/>
      <c r="E30" s="32" t="n">
        <f aca="false">D30*0.1</f>
        <v>0</v>
      </c>
      <c r="F30" s="12" t="n">
        <f aca="false">E30*4.5*365*0.8</f>
        <v>0</v>
      </c>
      <c r="G30" s="31" t="n">
        <f aca="false">'3. Block-wise Analysis'!H30</f>
        <v>0</v>
      </c>
      <c r="H30" s="51" t="n">
        <f aca="false">IF(G30&gt;0,MIN(F30/G30*100,100),0)</f>
        <v>0</v>
      </c>
      <c r="I30" s="34" t="n">
        <f aca="false">MIN(F30,G30)*8.5</f>
        <v>0</v>
      </c>
      <c r="J30" s="34" t="n">
        <f aca="false">E30*50000</f>
        <v>0</v>
      </c>
    </row>
    <row r="31" customFormat="false" ht="15" hidden="false" customHeight="false" outlineLevel="0" collapsed="false">
      <c r="A31" s="4" t="n">
        <v>27</v>
      </c>
      <c r="B31" s="48" t="n">
        <f aca="false">'1. Master Inventory'!B31</f>
        <v>0</v>
      </c>
      <c r="C31" s="72"/>
      <c r="D31" s="72"/>
      <c r="E31" s="28" t="n">
        <f aca="false">D31*0.1</f>
        <v>0</v>
      </c>
      <c r="F31" s="7" t="n">
        <f aca="false">E31*4.5*365*0.8</f>
        <v>0</v>
      </c>
      <c r="G31" s="27" t="n">
        <f aca="false">'3. Block-wise Analysis'!H31</f>
        <v>0</v>
      </c>
      <c r="H31" s="49" t="n">
        <f aca="false">IF(G31&gt;0,MIN(F31/G31*100,100),0)</f>
        <v>0</v>
      </c>
      <c r="I31" s="30" t="n">
        <f aca="false">MIN(F31,G31)*8.5</f>
        <v>0</v>
      </c>
      <c r="J31" s="30" t="n">
        <f aca="false">E31*50000</f>
        <v>0</v>
      </c>
    </row>
    <row r="32" customFormat="false" ht="15" hidden="false" customHeight="false" outlineLevel="0" collapsed="false">
      <c r="A32" s="9" t="n">
        <v>28</v>
      </c>
      <c r="B32" s="50" t="n">
        <f aca="false">'1. Master Inventory'!B32</f>
        <v>0</v>
      </c>
      <c r="C32" s="73"/>
      <c r="D32" s="73"/>
      <c r="E32" s="32" t="n">
        <f aca="false">D32*0.1</f>
        <v>0</v>
      </c>
      <c r="F32" s="12" t="n">
        <f aca="false">E32*4.5*365*0.8</f>
        <v>0</v>
      </c>
      <c r="G32" s="31" t="n">
        <f aca="false">'3. Block-wise Analysis'!H32</f>
        <v>0</v>
      </c>
      <c r="H32" s="51" t="n">
        <f aca="false">IF(G32&gt;0,MIN(F32/G32*100,100),0)</f>
        <v>0</v>
      </c>
      <c r="I32" s="34" t="n">
        <f aca="false">MIN(F32,G32)*8.5</f>
        <v>0</v>
      </c>
      <c r="J32" s="34" t="n">
        <f aca="false">E32*50000</f>
        <v>0</v>
      </c>
    </row>
    <row r="33" customFormat="false" ht="15" hidden="false" customHeight="false" outlineLevel="0" collapsed="false">
      <c r="A33" s="4" t="n">
        <v>29</v>
      </c>
      <c r="B33" s="48" t="n">
        <f aca="false">'1. Master Inventory'!B33</f>
        <v>0</v>
      </c>
      <c r="C33" s="72"/>
      <c r="D33" s="72"/>
      <c r="E33" s="28" t="n">
        <f aca="false">D33*0.1</f>
        <v>0</v>
      </c>
      <c r="F33" s="7" t="n">
        <f aca="false">E33*4.5*365*0.8</f>
        <v>0</v>
      </c>
      <c r="G33" s="27" t="n">
        <f aca="false">'3. Block-wise Analysis'!H33</f>
        <v>0</v>
      </c>
      <c r="H33" s="49" t="n">
        <f aca="false">IF(G33&gt;0,MIN(F33/G33*100,100),0)</f>
        <v>0</v>
      </c>
      <c r="I33" s="30" t="n">
        <f aca="false">MIN(F33,G33)*8.5</f>
        <v>0</v>
      </c>
      <c r="J33" s="30" t="n">
        <f aca="false">E33*50000</f>
        <v>0</v>
      </c>
    </row>
    <row r="34" customFormat="false" ht="15" hidden="false" customHeight="false" outlineLevel="0" collapsed="false">
      <c r="A34" s="9" t="n">
        <v>30</v>
      </c>
      <c r="B34" s="50" t="n">
        <f aca="false">'1. Master Inventory'!B34</f>
        <v>0</v>
      </c>
      <c r="C34" s="73"/>
      <c r="D34" s="73"/>
      <c r="E34" s="32" t="n">
        <f aca="false">D34*0.1</f>
        <v>0</v>
      </c>
      <c r="F34" s="12" t="n">
        <f aca="false">E34*4.5*365*0.8</f>
        <v>0</v>
      </c>
      <c r="G34" s="31" t="n">
        <f aca="false">'3. Block-wise Analysis'!H34</f>
        <v>0</v>
      </c>
      <c r="H34" s="51" t="n">
        <f aca="false">IF(G34&gt;0,MIN(F34/G34*100,100),0)</f>
        <v>0</v>
      </c>
      <c r="I34" s="34" t="n">
        <f aca="false">MIN(F34,G34)*8.5</f>
        <v>0</v>
      </c>
      <c r="J34" s="34" t="n">
        <f aca="false">E34*50000</f>
        <v>0</v>
      </c>
    </row>
    <row r="35" customFormat="false" ht="15" hidden="false" customHeight="false" outlineLevel="0" collapsed="false">
      <c r="A35" s="74"/>
      <c r="B35" s="71" t="s">
        <v>128</v>
      </c>
      <c r="C35" s="75" t="n">
        <f aca="false">SUM(C5:C34)</f>
        <v>0</v>
      </c>
      <c r="D35" s="75" t="n">
        <f aca="false">SUM(D5:D34)</f>
        <v>0</v>
      </c>
      <c r="E35" s="75" t="n">
        <f aca="false">SUM(E5:E34)</f>
        <v>0</v>
      </c>
      <c r="F35" s="75" t="n">
        <f aca="false">SUM(F5:F34)</f>
        <v>0</v>
      </c>
      <c r="G35" s="75" t="n">
        <f aca="false">SUM(G5:G34)</f>
        <v>1839618.25</v>
      </c>
      <c r="H35" s="76" t="n">
        <f aca="false">IF(G35&gt;0,MIN(F35/G35*100,100),0)</f>
        <v>0</v>
      </c>
      <c r="I35" s="77" t="n">
        <f aca="false">SUM(I5:I34)</f>
        <v>0</v>
      </c>
      <c r="J35" s="77" t="n">
        <f aca="false">SUM(J5:J34)</f>
        <v>0</v>
      </c>
    </row>
    <row r="37" customFormat="false" ht="25.5" hidden="false" customHeight="true" outlineLevel="0" collapsed="false">
      <c r="A37" s="2" t="s">
        <v>129</v>
      </c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5" hidden="false" customHeight="true" outlineLevel="0" collapsed="false">
      <c r="A38" s="42" t="s">
        <v>130</v>
      </c>
      <c r="B38" s="42"/>
      <c r="C38" s="42"/>
      <c r="D38" s="42"/>
      <c r="E38" s="42"/>
      <c r="F38" s="42"/>
      <c r="G38" s="78" t="n">
        <f aca="false">IF(I35&gt;0,J35/I35,0)</f>
        <v>0</v>
      </c>
      <c r="H38" s="78"/>
      <c r="I38" s="78"/>
      <c r="J38" s="20"/>
    </row>
  </sheetData>
  <mergeCells count="5">
    <mergeCell ref="A1:J1"/>
    <mergeCell ref="A2:J2"/>
    <mergeCell ref="A37:J37"/>
    <mergeCell ref="A38:F38"/>
    <mergeCell ref="G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6E7A"/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14"/>
  </cols>
  <sheetData>
    <row r="1" customFormat="false" ht="37.5" hidden="false" customHeight="true" outlineLevel="0" collapsed="false">
      <c r="A1" s="79" t="s">
        <v>131</v>
      </c>
      <c r="B1" s="79"/>
      <c r="C1" s="79"/>
      <c r="D1" s="79"/>
      <c r="E1" s="79"/>
      <c r="F1" s="79"/>
      <c r="G1" s="79"/>
      <c r="H1" s="79"/>
      <c r="I1" s="79"/>
    </row>
    <row r="2" customFormat="false" ht="25.5" hidden="false" customHeight="true" outlineLevel="0" collapsed="false">
      <c r="A2" s="80" t="s">
        <v>132</v>
      </c>
      <c r="B2" s="80"/>
      <c r="C2" s="80"/>
      <c r="D2" s="80"/>
      <c r="E2" s="80"/>
      <c r="F2" s="80"/>
      <c r="G2" s="80"/>
      <c r="H2" s="80"/>
      <c r="I2" s="80"/>
    </row>
    <row r="4" customFormat="false" ht="36" hidden="false" customHeight="true" outlineLevel="0" collapsed="false">
      <c r="A4" s="81" t="s">
        <v>2</v>
      </c>
      <c r="B4" s="81" t="s">
        <v>86</v>
      </c>
      <c r="C4" s="81" t="s">
        <v>133</v>
      </c>
      <c r="D4" s="81" t="s">
        <v>134</v>
      </c>
      <c r="E4" s="81" t="s">
        <v>135</v>
      </c>
      <c r="F4" s="81" t="s">
        <v>136</v>
      </c>
      <c r="G4" s="81" t="s">
        <v>137</v>
      </c>
      <c r="H4" s="81" t="s">
        <v>138</v>
      </c>
      <c r="I4" s="81" t="s">
        <v>139</v>
      </c>
    </row>
    <row r="5" customFormat="false" ht="15" hidden="false" customHeight="false" outlineLevel="0" collapsed="false">
      <c r="A5" s="4" t="n">
        <v>1</v>
      </c>
      <c r="B5" s="15"/>
      <c r="C5" s="15"/>
      <c r="D5" s="15"/>
      <c r="E5" s="15"/>
      <c r="F5" s="15"/>
      <c r="G5" s="14"/>
      <c r="H5" s="15"/>
      <c r="I5" s="15"/>
    </row>
    <row r="6" customFormat="false" ht="15" hidden="false" customHeight="false" outlineLevel="0" collapsed="false">
      <c r="A6" s="9" t="n">
        <v>2</v>
      </c>
      <c r="B6" s="17"/>
      <c r="C6" s="17"/>
      <c r="D6" s="17"/>
      <c r="E6" s="17"/>
      <c r="F6" s="17"/>
      <c r="G6" s="16"/>
      <c r="H6" s="17"/>
      <c r="I6" s="17"/>
    </row>
    <row r="7" customFormat="false" ht="15" hidden="false" customHeight="false" outlineLevel="0" collapsed="false">
      <c r="A7" s="4" t="n">
        <v>3</v>
      </c>
      <c r="B7" s="15"/>
      <c r="C7" s="15"/>
      <c r="D7" s="15"/>
      <c r="E7" s="15"/>
      <c r="F7" s="15"/>
      <c r="G7" s="14"/>
      <c r="H7" s="15"/>
      <c r="I7" s="15"/>
    </row>
    <row r="8" customFormat="false" ht="15" hidden="false" customHeight="false" outlineLevel="0" collapsed="false">
      <c r="A8" s="9" t="n">
        <v>4</v>
      </c>
      <c r="B8" s="17"/>
      <c r="C8" s="17"/>
      <c r="D8" s="17"/>
      <c r="E8" s="17"/>
      <c r="F8" s="17"/>
      <c r="G8" s="16"/>
      <c r="H8" s="17"/>
      <c r="I8" s="17"/>
    </row>
    <row r="9" customFormat="false" ht="15" hidden="false" customHeight="false" outlineLevel="0" collapsed="false">
      <c r="A9" s="4" t="n">
        <v>5</v>
      </c>
      <c r="B9" s="15"/>
      <c r="C9" s="15"/>
      <c r="D9" s="15"/>
      <c r="E9" s="15"/>
      <c r="F9" s="15"/>
      <c r="G9" s="14"/>
      <c r="H9" s="15"/>
      <c r="I9" s="15"/>
    </row>
    <row r="10" customFormat="false" ht="15" hidden="false" customHeight="false" outlineLevel="0" collapsed="false">
      <c r="A10" s="9" t="n">
        <v>6</v>
      </c>
      <c r="B10" s="17"/>
      <c r="C10" s="17"/>
      <c r="D10" s="17"/>
      <c r="E10" s="17"/>
      <c r="F10" s="17"/>
      <c r="G10" s="16"/>
      <c r="H10" s="17"/>
      <c r="I10" s="17"/>
    </row>
    <row r="11" customFormat="false" ht="15" hidden="false" customHeight="false" outlineLevel="0" collapsed="false">
      <c r="A11" s="4" t="n">
        <v>7</v>
      </c>
      <c r="B11" s="15"/>
      <c r="C11" s="15"/>
      <c r="D11" s="15"/>
      <c r="E11" s="15"/>
      <c r="F11" s="15"/>
      <c r="G11" s="14"/>
      <c r="H11" s="15"/>
      <c r="I11" s="15"/>
    </row>
    <row r="12" customFormat="false" ht="15" hidden="false" customHeight="false" outlineLevel="0" collapsed="false">
      <c r="A12" s="9" t="n">
        <v>8</v>
      </c>
      <c r="B12" s="17"/>
      <c r="C12" s="17"/>
      <c r="D12" s="17"/>
      <c r="E12" s="17"/>
      <c r="F12" s="17"/>
      <c r="G12" s="16"/>
      <c r="H12" s="17"/>
      <c r="I12" s="17"/>
    </row>
    <row r="13" customFormat="false" ht="15" hidden="false" customHeight="false" outlineLevel="0" collapsed="false">
      <c r="A13" s="4" t="n">
        <v>9</v>
      </c>
      <c r="B13" s="15"/>
      <c r="C13" s="15"/>
      <c r="D13" s="15"/>
      <c r="E13" s="15"/>
      <c r="F13" s="15"/>
      <c r="G13" s="14"/>
      <c r="H13" s="15"/>
      <c r="I13" s="15"/>
    </row>
    <row r="14" customFormat="false" ht="15" hidden="false" customHeight="false" outlineLevel="0" collapsed="false">
      <c r="A14" s="9" t="n">
        <v>10</v>
      </c>
      <c r="B14" s="17"/>
      <c r="C14" s="17"/>
      <c r="D14" s="17"/>
      <c r="E14" s="17"/>
      <c r="F14" s="17"/>
      <c r="G14" s="16"/>
      <c r="H14" s="17"/>
      <c r="I14" s="17"/>
    </row>
    <row r="15" customFormat="false" ht="15" hidden="false" customHeight="false" outlineLevel="0" collapsed="false">
      <c r="A15" s="4" t="n">
        <v>11</v>
      </c>
      <c r="B15" s="15"/>
      <c r="C15" s="15"/>
      <c r="D15" s="15"/>
      <c r="E15" s="15"/>
      <c r="F15" s="15"/>
      <c r="G15" s="14"/>
      <c r="H15" s="15"/>
      <c r="I15" s="15"/>
    </row>
    <row r="16" customFormat="false" ht="15" hidden="false" customHeight="false" outlineLevel="0" collapsed="false">
      <c r="A16" s="9" t="n">
        <v>12</v>
      </c>
      <c r="B16" s="17"/>
      <c r="C16" s="17"/>
      <c r="D16" s="17"/>
      <c r="E16" s="17"/>
      <c r="F16" s="17"/>
      <c r="G16" s="16"/>
      <c r="H16" s="17"/>
      <c r="I16" s="17"/>
    </row>
    <row r="17" customFormat="false" ht="15" hidden="false" customHeight="false" outlineLevel="0" collapsed="false">
      <c r="A17" s="4" t="n">
        <v>13</v>
      </c>
      <c r="B17" s="15"/>
      <c r="C17" s="15"/>
      <c r="D17" s="15"/>
      <c r="E17" s="15"/>
      <c r="F17" s="15"/>
      <c r="G17" s="14"/>
      <c r="H17" s="15"/>
      <c r="I17" s="15"/>
    </row>
    <row r="18" customFormat="false" ht="15" hidden="false" customHeight="false" outlineLevel="0" collapsed="false">
      <c r="A18" s="9" t="n">
        <v>14</v>
      </c>
      <c r="B18" s="17"/>
      <c r="C18" s="17"/>
      <c r="D18" s="17"/>
      <c r="E18" s="17"/>
      <c r="F18" s="17"/>
      <c r="G18" s="16"/>
      <c r="H18" s="17"/>
      <c r="I18" s="17"/>
    </row>
    <row r="19" customFormat="false" ht="15" hidden="false" customHeight="false" outlineLevel="0" collapsed="false">
      <c r="A19" s="4" t="n">
        <v>15</v>
      </c>
      <c r="B19" s="15"/>
      <c r="C19" s="15"/>
      <c r="D19" s="15"/>
      <c r="E19" s="15"/>
      <c r="F19" s="15"/>
      <c r="G19" s="14"/>
      <c r="H19" s="15"/>
      <c r="I19" s="15"/>
    </row>
    <row r="20" customFormat="false" ht="15" hidden="false" customHeight="false" outlineLevel="0" collapsed="false">
      <c r="A20" s="9" t="n">
        <v>16</v>
      </c>
      <c r="B20" s="17"/>
      <c r="C20" s="17"/>
      <c r="D20" s="17"/>
      <c r="E20" s="17"/>
      <c r="F20" s="17"/>
      <c r="G20" s="16"/>
      <c r="H20" s="17"/>
      <c r="I20" s="17"/>
    </row>
    <row r="21" customFormat="false" ht="15" hidden="false" customHeight="false" outlineLevel="0" collapsed="false">
      <c r="A21" s="4" t="n">
        <v>17</v>
      </c>
      <c r="B21" s="15"/>
      <c r="C21" s="15"/>
      <c r="D21" s="15"/>
      <c r="E21" s="15"/>
      <c r="F21" s="15"/>
      <c r="G21" s="14"/>
      <c r="H21" s="15"/>
      <c r="I21" s="15"/>
    </row>
    <row r="22" customFormat="false" ht="15" hidden="false" customHeight="false" outlineLevel="0" collapsed="false">
      <c r="A22" s="9" t="n">
        <v>18</v>
      </c>
      <c r="B22" s="17"/>
      <c r="C22" s="17"/>
      <c r="D22" s="17"/>
      <c r="E22" s="17"/>
      <c r="F22" s="17"/>
      <c r="G22" s="16"/>
      <c r="H22" s="17"/>
      <c r="I22" s="17"/>
    </row>
    <row r="23" customFormat="false" ht="15" hidden="false" customHeight="false" outlineLevel="0" collapsed="false">
      <c r="A23" s="4" t="n">
        <v>19</v>
      </c>
      <c r="B23" s="15"/>
      <c r="C23" s="15"/>
      <c r="D23" s="15"/>
      <c r="E23" s="15"/>
      <c r="F23" s="15"/>
      <c r="G23" s="14"/>
      <c r="H23" s="15"/>
      <c r="I23" s="15"/>
    </row>
    <row r="24" customFormat="false" ht="15" hidden="false" customHeight="false" outlineLevel="0" collapsed="false">
      <c r="A24" s="9" t="n">
        <v>20</v>
      </c>
      <c r="B24" s="17"/>
      <c r="C24" s="17"/>
      <c r="D24" s="17"/>
      <c r="E24" s="17"/>
      <c r="F24" s="17"/>
      <c r="G24" s="16"/>
      <c r="H24" s="17"/>
      <c r="I24" s="17"/>
    </row>
    <row r="25" customFormat="false" ht="15" hidden="false" customHeight="false" outlineLevel="0" collapsed="false">
      <c r="A25" s="4" t="n">
        <v>21</v>
      </c>
      <c r="B25" s="15"/>
      <c r="C25" s="15"/>
      <c r="D25" s="15"/>
      <c r="E25" s="15"/>
      <c r="F25" s="15"/>
      <c r="G25" s="14"/>
      <c r="H25" s="15"/>
      <c r="I25" s="15"/>
    </row>
    <row r="26" customFormat="false" ht="15" hidden="false" customHeight="false" outlineLevel="0" collapsed="false">
      <c r="A26" s="9" t="n">
        <v>22</v>
      </c>
      <c r="B26" s="17"/>
      <c r="C26" s="17"/>
      <c r="D26" s="17"/>
      <c r="E26" s="17"/>
      <c r="F26" s="17"/>
      <c r="G26" s="16"/>
      <c r="H26" s="17"/>
      <c r="I26" s="17"/>
    </row>
    <row r="27" customFormat="false" ht="15" hidden="false" customHeight="false" outlineLevel="0" collapsed="false">
      <c r="A27" s="4" t="n">
        <v>23</v>
      </c>
      <c r="B27" s="15"/>
      <c r="C27" s="15"/>
      <c r="D27" s="15"/>
      <c r="E27" s="15"/>
      <c r="F27" s="15"/>
      <c r="G27" s="14"/>
      <c r="H27" s="15"/>
      <c r="I27" s="15"/>
    </row>
    <row r="28" customFormat="false" ht="15" hidden="false" customHeight="false" outlineLevel="0" collapsed="false">
      <c r="A28" s="9" t="n">
        <v>24</v>
      </c>
      <c r="B28" s="17"/>
      <c r="C28" s="17"/>
      <c r="D28" s="17"/>
      <c r="E28" s="17"/>
      <c r="F28" s="17"/>
      <c r="G28" s="16"/>
      <c r="H28" s="17"/>
      <c r="I28" s="17"/>
    </row>
    <row r="29" customFormat="false" ht="15" hidden="false" customHeight="false" outlineLevel="0" collapsed="false">
      <c r="A29" s="4" t="n">
        <v>25</v>
      </c>
      <c r="B29" s="15"/>
      <c r="C29" s="15"/>
      <c r="D29" s="15"/>
      <c r="E29" s="15"/>
      <c r="F29" s="15"/>
      <c r="G29" s="14"/>
      <c r="H29" s="15"/>
      <c r="I29" s="15"/>
    </row>
    <row r="30" customFormat="false" ht="15" hidden="false" customHeight="false" outlineLevel="0" collapsed="false">
      <c r="A30" s="9" t="n">
        <v>26</v>
      </c>
      <c r="B30" s="17"/>
      <c r="C30" s="17"/>
      <c r="D30" s="17"/>
      <c r="E30" s="17"/>
      <c r="F30" s="17"/>
      <c r="G30" s="16"/>
      <c r="H30" s="17"/>
      <c r="I30" s="17"/>
    </row>
    <row r="31" customFormat="false" ht="15" hidden="false" customHeight="false" outlineLevel="0" collapsed="false">
      <c r="A31" s="4" t="n">
        <v>27</v>
      </c>
      <c r="B31" s="15"/>
      <c r="C31" s="15"/>
      <c r="D31" s="15"/>
      <c r="E31" s="15"/>
      <c r="F31" s="15"/>
      <c r="G31" s="14"/>
      <c r="H31" s="15"/>
      <c r="I31" s="15"/>
    </row>
    <row r="32" customFormat="false" ht="15" hidden="false" customHeight="false" outlineLevel="0" collapsed="false">
      <c r="A32" s="9" t="n">
        <v>28</v>
      </c>
      <c r="B32" s="17"/>
      <c r="C32" s="17"/>
      <c r="D32" s="17"/>
      <c r="E32" s="17"/>
      <c r="F32" s="17"/>
      <c r="G32" s="16"/>
      <c r="H32" s="17"/>
      <c r="I32" s="17"/>
    </row>
    <row r="33" customFormat="false" ht="15" hidden="false" customHeight="false" outlineLevel="0" collapsed="false">
      <c r="A33" s="4" t="n">
        <v>29</v>
      </c>
      <c r="B33" s="15"/>
      <c r="C33" s="15"/>
      <c r="D33" s="15"/>
      <c r="E33" s="15"/>
      <c r="F33" s="15"/>
      <c r="G33" s="14"/>
      <c r="H33" s="15"/>
      <c r="I33" s="15"/>
    </row>
    <row r="34" customFormat="false" ht="15" hidden="false" customHeight="false" outlineLevel="0" collapsed="false">
      <c r="A34" s="9" t="n">
        <v>30</v>
      </c>
      <c r="B34" s="17"/>
      <c r="C34" s="17"/>
      <c r="D34" s="17"/>
      <c r="E34" s="17"/>
      <c r="F34" s="17"/>
      <c r="G34" s="16"/>
      <c r="H34" s="17"/>
      <c r="I34" s="17"/>
    </row>
    <row r="35" customFormat="false" ht="15" hidden="false" customHeight="false" outlineLevel="0" collapsed="false">
      <c r="A35" s="4" t="n">
        <v>31</v>
      </c>
      <c r="B35" s="15"/>
      <c r="C35" s="15"/>
      <c r="D35" s="15"/>
      <c r="E35" s="15"/>
      <c r="F35" s="15"/>
      <c r="G35" s="14"/>
      <c r="H35" s="15"/>
      <c r="I35" s="15"/>
    </row>
    <row r="36" customFormat="false" ht="15" hidden="false" customHeight="false" outlineLevel="0" collapsed="false">
      <c r="A36" s="9" t="n">
        <v>32</v>
      </c>
      <c r="B36" s="17"/>
      <c r="C36" s="17"/>
      <c r="D36" s="17"/>
      <c r="E36" s="17"/>
      <c r="F36" s="17"/>
      <c r="G36" s="16"/>
      <c r="H36" s="17"/>
      <c r="I36" s="17"/>
    </row>
    <row r="37" customFormat="false" ht="15" hidden="false" customHeight="false" outlineLevel="0" collapsed="false">
      <c r="A37" s="4" t="n">
        <v>33</v>
      </c>
      <c r="B37" s="15"/>
      <c r="C37" s="15"/>
      <c r="D37" s="15"/>
      <c r="E37" s="15"/>
      <c r="F37" s="15"/>
      <c r="G37" s="14"/>
      <c r="H37" s="15"/>
      <c r="I37" s="15"/>
    </row>
    <row r="38" customFormat="false" ht="15" hidden="false" customHeight="false" outlineLevel="0" collapsed="false">
      <c r="A38" s="9" t="n">
        <v>34</v>
      </c>
      <c r="B38" s="17"/>
      <c r="C38" s="17"/>
      <c r="D38" s="17"/>
      <c r="E38" s="17"/>
      <c r="F38" s="17"/>
      <c r="G38" s="16"/>
      <c r="H38" s="17"/>
      <c r="I38" s="17"/>
    </row>
    <row r="39" customFormat="false" ht="15" hidden="false" customHeight="false" outlineLevel="0" collapsed="false">
      <c r="A39" s="4" t="n">
        <v>35</v>
      </c>
      <c r="B39" s="15"/>
      <c r="C39" s="15"/>
      <c r="D39" s="15"/>
      <c r="E39" s="15"/>
      <c r="F39" s="15"/>
      <c r="G39" s="14"/>
      <c r="H39" s="15"/>
      <c r="I39" s="15"/>
    </row>
    <row r="40" customFormat="false" ht="15" hidden="false" customHeight="false" outlineLevel="0" collapsed="false">
      <c r="A40" s="9" t="n">
        <v>36</v>
      </c>
      <c r="B40" s="17"/>
      <c r="C40" s="17"/>
      <c r="D40" s="17"/>
      <c r="E40" s="17"/>
      <c r="F40" s="17"/>
      <c r="G40" s="16"/>
      <c r="H40" s="17"/>
      <c r="I40" s="17"/>
    </row>
    <row r="41" customFormat="false" ht="15" hidden="false" customHeight="false" outlineLevel="0" collapsed="false">
      <c r="A41" s="4" t="n">
        <v>37</v>
      </c>
      <c r="B41" s="15"/>
      <c r="C41" s="15"/>
      <c r="D41" s="15"/>
      <c r="E41" s="15"/>
      <c r="F41" s="15"/>
      <c r="G41" s="14"/>
      <c r="H41" s="15"/>
      <c r="I41" s="15"/>
    </row>
    <row r="42" customFormat="false" ht="15" hidden="false" customHeight="false" outlineLevel="0" collapsed="false">
      <c r="A42" s="9" t="n">
        <v>38</v>
      </c>
      <c r="B42" s="17"/>
      <c r="C42" s="17"/>
      <c r="D42" s="17"/>
      <c r="E42" s="17"/>
      <c r="F42" s="17"/>
      <c r="G42" s="16"/>
      <c r="H42" s="17"/>
      <c r="I42" s="17"/>
    </row>
    <row r="43" customFormat="false" ht="15" hidden="false" customHeight="false" outlineLevel="0" collapsed="false">
      <c r="A43" s="4" t="n">
        <v>39</v>
      </c>
      <c r="B43" s="15"/>
      <c r="C43" s="15"/>
      <c r="D43" s="15"/>
      <c r="E43" s="15"/>
      <c r="F43" s="15"/>
      <c r="G43" s="14"/>
      <c r="H43" s="15"/>
      <c r="I43" s="15"/>
    </row>
    <row r="44" customFormat="false" ht="15" hidden="false" customHeight="false" outlineLevel="0" collapsed="false">
      <c r="A44" s="9" t="n">
        <v>40</v>
      </c>
      <c r="B44" s="17"/>
      <c r="C44" s="17"/>
      <c r="D44" s="17"/>
      <c r="E44" s="17"/>
      <c r="F44" s="17"/>
      <c r="G44" s="16"/>
      <c r="H44" s="17"/>
      <c r="I44" s="17"/>
    </row>
    <row r="45" customFormat="false" ht="15" hidden="false" customHeight="false" outlineLevel="0" collapsed="false">
      <c r="A45" s="4" t="n">
        <v>41</v>
      </c>
      <c r="B45" s="15"/>
      <c r="C45" s="15"/>
      <c r="D45" s="15"/>
      <c r="E45" s="15"/>
      <c r="F45" s="15"/>
      <c r="G45" s="14"/>
      <c r="H45" s="15"/>
      <c r="I45" s="15"/>
    </row>
    <row r="46" customFormat="false" ht="15" hidden="false" customHeight="false" outlineLevel="0" collapsed="false">
      <c r="A46" s="9" t="n">
        <v>42</v>
      </c>
      <c r="B46" s="17"/>
      <c r="C46" s="17"/>
      <c r="D46" s="17"/>
      <c r="E46" s="17"/>
      <c r="F46" s="17"/>
      <c r="G46" s="16"/>
      <c r="H46" s="17"/>
      <c r="I46" s="17"/>
    </row>
    <row r="47" customFormat="false" ht="15" hidden="false" customHeight="false" outlineLevel="0" collapsed="false">
      <c r="A47" s="4" t="n">
        <v>43</v>
      </c>
      <c r="B47" s="15"/>
      <c r="C47" s="15"/>
      <c r="D47" s="15"/>
      <c r="E47" s="15"/>
      <c r="F47" s="15"/>
      <c r="G47" s="14"/>
      <c r="H47" s="15"/>
      <c r="I47" s="15"/>
    </row>
    <row r="48" customFormat="false" ht="15" hidden="false" customHeight="false" outlineLevel="0" collapsed="false">
      <c r="A48" s="9" t="n">
        <v>44</v>
      </c>
      <c r="B48" s="17"/>
      <c r="C48" s="17"/>
      <c r="D48" s="17"/>
      <c r="E48" s="17"/>
      <c r="F48" s="17"/>
      <c r="G48" s="16"/>
      <c r="H48" s="17"/>
      <c r="I48" s="17"/>
    </row>
    <row r="49" customFormat="false" ht="15" hidden="false" customHeight="false" outlineLevel="0" collapsed="false">
      <c r="A49" s="4" t="n">
        <v>45</v>
      </c>
      <c r="B49" s="15"/>
      <c r="C49" s="15"/>
      <c r="D49" s="15"/>
      <c r="E49" s="15"/>
      <c r="F49" s="15"/>
      <c r="G49" s="14"/>
      <c r="H49" s="15"/>
      <c r="I49" s="15"/>
    </row>
    <row r="50" customFormat="false" ht="15" hidden="false" customHeight="false" outlineLevel="0" collapsed="false">
      <c r="A50" s="9" t="n">
        <v>46</v>
      </c>
      <c r="B50" s="17"/>
      <c r="C50" s="17"/>
      <c r="D50" s="17"/>
      <c r="E50" s="17"/>
      <c r="F50" s="17"/>
      <c r="G50" s="16"/>
      <c r="H50" s="17"/>
      <c r="I50" s="17"/>
    </row>
    <row r="51" customFormat="false" ht="15" hidden="false" customHeight="false" outlineLevel="0" collapsed="false">
      <c r="A51" s="4" t="n">
        <v>47</v>
      </c>
      <c r="B51" s="15"/>
      <c r="C51" s="15"/>
      <c r="D51" s="15"/>
      <c r="E51" s="15"/>
      <c r="F51" s="15"/>
      <c r="G51" s="14"/>
      <c r="H51" s="15"/>
      <c r="I51" s="15"/>
    </row>
    <row r="52" customFormat="false" ht="15" hidden="false" customHeight="false" outlineLevel="0" collapsed="false">
      <c r="A52" s="9" t="n">
        <v>48</v>
      </c>
      <c r="B52" s="17"/>
      <c r="C52" s="17"/>
      <c r="D52" s="17"/>
      <c r="E52" s="17"/>
      <c r="F52" s="17"/>
      <c r="G52" s="16"/>
      <c r="H52" s="17"/>
      <c r="I52" s="17"/>
    </row>
    <row r="53" customFormat="false" ht="15" hidden="false" customHeight="false" outlineLevel="0" collapsed="false">
      <c r="A53" s="4" t="n">
        <v>49</v>
      </c>
      <c r="B53" s="15"/>
      <c r="C53" s="15"/>
      <c r="D53" s="15"/>
      <c r="E53" s="15"/>
      <c r="F53" s="15"/>
      <c r="G53" s="14"/>
      <c r="H53" s="15"/>
      <c r="I53" s="15"/>
    </row>
    <row r="54" customFormat="false" ht="15" hidden="false" customHeight="false" outlineLevel="0" collapsed="false">
      <c r="A54" s="9" t="n">
        <v>50</v>
      </c>
      <c r="B54" s="17"/>
      <c r="C54" s="17"/>
      <c r="D54" s="17"/>
      <c r="E54" s="17"/>
      <c r="F54" s="17"/>
      <c r="G54" s="16"/>
      <c r="H54" s="17"/>
      <c r="I54" s="17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2026-06-08T07:04:19Z</dcterms:created>
  <dc:creator>openpyxl</dc:creator>
  <dc:description/>
  <dc:language>en-US</dc:language>
  <cp:lastModifiedBy/>
  <dcterms:modified xsi:type="dcterms:W3CDTF">2026-06-08T07:04:19Z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