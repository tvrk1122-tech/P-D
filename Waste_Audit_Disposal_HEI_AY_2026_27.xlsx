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000" windowHeight="8352" tabRatio="500" firstSheet="4" activeTab="5"/>
  </bookViews>
  <sheets>
    <sheet name="1. Waste Categories" sheetId="1" r:id="rId1"/>
    <sheet name="2. Monthly Waste Data" sheetId="2" r:id="rId2"/>
    <sheet name="3. Segregation &amp; Disposal" sheetId="3" r:id="rId3"/>
    <sheet name="4. Source-wise Inventory" sheetId="4" r:id="rId4"/>
    <sheet name="5. Composting &amp; Organic" sheetId="5" r:id="rId5"/>
    <sheet name="6. Recycling Revenue" sheetId="6" r:id="rId6"/>
    <sheet name="7. Roadmap &amp; Policy" sheetId="7" r:id="rId7"/>
    <sheet name="8. Data Quality Audit" sheetId="8" r:id="rId8"/>
  </sheets>
  <calcPr calcId="144525"/>
</workbook>
</file>

<file path=xl/sharedStrings.xml><?xml version="1.0" encoding="utf-8"?>
<sst xmlns="http://schemas.openxmlformats.org/spreadsheetml/2006/main" count="380" uniqueCount="316">
  <si>
    <t>WASTE CATEGORIES, DISPOSAL METHODS &amp; REGULATORY FRAMEWORK</t>
  </si>
  <si>
    <t>Complete waste classification for HEIs | Aligned with SWM Rules 2016, BMW Rules 2016, E-Waste Rules 2022</t>
  </si>
  <si>
    <t>#</t>
  </si>
  <si>
    <t>Waste Type</t>
  </si>
  <si>
    <t>Sub-Category</t>
  </si>
  <si>
    <t>Disposal Method</t>
  </si>
  <si>
    <t>Regulatory Framework</t>
  </si>
  <si>
    <t>Campus Relevance</t>
  </si>
  <si>
    <t>E-Waste</t>
  </si>
  <si>
    <t>Monitors, desktops, laptops, printers, UPS</t>
  </si>
  <si>
    <t>Collected in separate bins → Authorized e-waste recycler</t>
  </si>
  <si>
    <t>E-Waste (Management) Rules, 2022</t>
  </si>
  <si>
    <t>Computer labs, IT dept, offices</t>
  </si>
  <si>
    <t>Bio-Degradable – Organic</t>
  </si>
  <si>
    <t>Food waste, garden waste, leaves, flowers</t>
  </si>
  <si>
    <t>Composting / Vermicomposting → Organic manure for campus gardens</t>
  </si>
  <si>
    <t>SWM Rules, 2016</t>
  </si>
  <si>
    <t>Canteen, hostels, gardens</t>
  </si>
  <si>
    <t>Bio-Degradable – Inorganic</t>
  </si>
  <si>
    <t>Chemicals, glass, lab reagents</t>
  </si>
  <si>
    <t>Disposed in lined earthen pits; neutralization before disposal</t>
  </si>
  <si>
    <t>BMW Rules, 2016 / HW Rules, 2016</t>
  </si>
  <si>
    <t>Chemistry &amp; science labs</t>
  </si>
  <si>
    <t>Domestic Waste</t>
  </si>
  <si>
    <t>Food leftovers from hostels &amp; canteens</t>
  </si>
  <si>
    <t>Cattle feeding / biogas plant feed</t>
  </si>
  <si>
    <t>Hostels, mess, canteen</t>
  </si>
  <si>
    <t>Electrical Waste</t>
  </si>
  <si>
    <t>Tube lights, bulbs, wires, stoves, fans</t>
  </si>
  <si>
    <t>Collected in separate bins → Safe recycling / disposal</t>
  </si>
  <si>
    <t>E-Waste Rules, 2022 / HW Rules</t>
  </si>
  <si>
    <t>All buildings campus-wide</t>
  </si>
  <si>
    <t>Paper Waste</t>
  </si>
  <si>
    <t>Newspapers, answer sheets, office paper</t>
  </si>
  <si>
    <t>Sold for recycling to authorized recyclers</t>
  </si>
  <si>
    <t>Offices, exam cells, library</t>
  </si>
  <si>
    <t>Metal Scrap</t>
  </si>
  <si>
    <t>Steel furniture frames, lab equipment, pipes</t>
  </si>
  <si>
    <t>Sold for recycling; income per net weight</t>
  </si>
  <si>
    <t>Workshop, labs, stores</t>
  </si>
  <si>
    <t>Timber Waste</t>
  </si>
  <si>
    <t>Furniture scraps, wooden pallets, doors</t>
  </si>
  <si>
    <t>Stored → Repaired/reused OR sold as scrap</t>
  </si>
  <si>
    <t>Carpentry, hostels, offices</t>
  </si>
  <si>
    <t>Resins, Fuel, Oil, Grease</t>
  </si>
  <si>
    <t>Lab chemicals, DG set oil, workshop grease</t>
  </si>
  <si>
    <t>Disposed in lined earthen pits with caution</t>
  </si>
  <si>
    <t>HW Rules, 2016</t>
  </si>
  <si>
    <t>Workshop, DG room, labs</t>
  </si>
  <si>
    <t>Sanitary Waste</t>
  </si>
  <si>
    <t>Used sanitary products</t>
  </si>
  <si>
    <t>Incineration facility at ladies' hostels</t>
  </si>
  <si>
    <t>BMW Rules, 2016</t>
  </si>
  <si>
    <t>Ladies' hostels</t>
  </si>
  <si>
    <t>Plastic Waste</t>
  </si>
  <si>
    <t>Bottles, packaging, lab plastics</t>
  </si>
  <si>
    <t>Collected in dustbins → Municipal / recycler pickup</t>
  </si>
  <si>
    <t>Plastic Waste Management Rules, 2016</t>
  </si>
  <si>
    <t>Campus-wide</t>
  </si>
  <si>
    <t>Scrap Equipment</t>
  </si>
  <si>
    <t>Non-functional lab equipment, furniture</t>
  </si>
  <si>
    <t>Stored in designated storeroom → Bulk auction/sale</t>
  </si>
  <si>
    <t>GFR / State surplus rules</t>
  </si>
  <si>
    <t>Labs, workshops, stores</t>
  </si>
  <si>
    <t>Construction Waste</t>
  </si>
  <si>
    <t>Concrete, bitumen, rubble, debris</t>
  </si>
  <si>
    <t>Dumped at designated site → Reused for campus landfilling</t>
  </si>
  <si>
    <t>C&amp;D Waste Rules, 2016</t>
  </si>
  <si>
    <t>Construction sites</t>
  </si>
  <si>
    <t>Biomedical Waste</t>
  </si>
  <si>
    <t>First aid waste, dispensary sharps</t>
  </si>
  <si>
    <t>Collected in colour-coded bins → Authorized CBWTF</t>
  </si>
  <si>
    <t>Health centre / dispensary</t>
  </si>
  <si>
    <t>MONTHLY WASTE GENERATION DATA — A.Y. 2026–27</t>
  </si>
  <si>
    <t>Enter waste quantity (kg) per category per month | All totals &amp; percentages auto-calculated</t>
  </si>
  <si>
    <t>Campus Population (students + staff) →</t>
  </si>
  <si>
    <t>Sl.</t>
  </si>
  <si>
    <t>Month</t>
  </si>
  <si>
    <t>Organic
(kg)</t>
  </si>
  <si>
    <t>Paper
(kg)</t>
  </si>
  <si>
    <t>Plastic
(kg)</t>
  </si>
  <si>
    <t>E-Waste
(kg)</t>
  </si>
  <si>
    <t>Metal
Scrap (kg)</t>
  </si>
  <si>
    <t>Electrical
(kg)</t>
  </si>
  <si>
    <t>Glass /
Chemical (kg)</t>
  </si>
  <si>
    <t>Timber
(kg)</t>
  </si>
  <si>
    <t>Sanitary
(kg)</t>
  </si>
  <si>
    <t>Construction
(kg)</t>
  </si>
  <si>
    <t>Domestic
Food (kg)</t>
  </si>
  <si>
    <t>Biomedical
(kg)</t>
  </si>
  <si>
    <t>Oil/Grease
(kg)</t>
  </si>
  <si>
    <t>Other
(kg)</t>
  </si>
  <si>
    <t>TOTAL
(kg)</t>
  </si>
  <si>
    <t>Per Capita
(kg/person/month)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</si>
  <si>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</si>
  <si>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</si>
  <si>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</si>
  <si>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</si>
  <si>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</si>
  <si>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</si>
  <si>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</si>
  <si>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</si>
  <si>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</si>
  <si>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</si>
  <si>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</si>
  <si>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March 2027</t>
  </si>
  <si>
    <t>ANNUAL TOTAL</t>
  </si>
  <si>
    <t>MONTHLY AVERAGE</t>
  </si>
  <si>
    <t>% DISTRIBUTION</t>
  </si>
  <si>
    <t>WASTE SEGREGATION, RECYCLING &amp; DISPOSAL TRACKER — A.Y. 2026–27</t>
  </si>
  <si>
    <t>Tracks fate of each waste category: Recycled / Composted / Incinerated / Landfilled / Sold | Auto-calculated diversion rate</t>
  </si>
  <si>
    <t>Waste Category</t>
  </si>
  <si>
    <t>Total Generated
(kg/year)</t>
  </si>
  <si>
    <t>Recycled
(kg)</t>
  </si>
  <si>
    <t>Composted
(kg)</t>
  </si>
  <si>
    <t>Incinerated
(kg)</t>
  </si>
  <si>
    <t>Sold / Reused
(kg)</t>
  </si>
  <si>
    <t>Landfilled
(kg)</t>
  </si>
  <si>
    <t>Diversion Rate
(%)</t>
  </si>
  <si>
    <t>Disposal
Method</t>
  </si>
  <si>
    <t>Organic / Food Waste</t>
  </si>
  <si>
    <t>Composting / Vermicomposting</t>
  </si>
  <si>
    <t>Sold to authorized recycler</t>
  </si>
  <si>
    <t>Municipal / recycler pickup</t>
  </si>
  <si>
    <t>Authorized e-waste recycler</t>
  </si>
  <si>
    <t>Sold per net weight</t>
  </si>
  <si>
    <t>Safe recycling bins</t>
  </si>
  <si>
    <t>Glass / Chemical</t>
  </si>
  <si>
    <t>Lined earthen pits</t>
  </si>
  <si>
    <t>Stored / repaired / sold</t>
  </si>
  <si>
    <t>Incineration facility</t>
  </si>
  <si>
    <t>Campus landfilling / reuse</t>
  </si>
  <si>
    <t>Domestic Food Waste</t>
  </si>
  <si>
    <t>Cattle feeding / biogas</t>
  </si>
  <si>
    <t>Authorized CBWTF</t>
  </si>
  <si>
    <t>Oil / Grease</t>
  </si>
  <si>
    <t>Other</t>
  </si>
  <si>
    <t>Various</t>
  </si>
  <si>
    <t>GRAND TOTAL</t>
  </si>
  <si>
    <t>Waste Management KPIs — Auto-Calculated</t>
  </si>
  <si>
    <t>Total Waste Generated (kg/year)</t>
  </si>
  <si>
    <t>Total Waste Recycled (kg)</t>
  </si>
  <si>
    <t>Total Waste Composted (kg)</t>
  </si>
  <si>
    <t>Total Waste Sold / Reused (kg)</t>
  </si>
  <si>
    <t>Total Waste Landfilled (kg)</t>
  </si>
  <si>
    <t>Total Waste Incinerated (kg)</t>
  </si>
  <si>
    <t>Overall Landfill Diversion Rate (%)</t>
  </si>
  <si>
    <t>Landfill Dependency (%)</t>
  </si>
  <si>
    <t>Waste per Capita (kg/person/year)</t>
  </si>
  <si>
    <t>Revenue from Recycling (₹ — enter below)</t>
  </si>
  <si>
    <t>SOURCE-WISE WASTE GENERATION INVENTORY — A.Y. 2026–27</t>
  </si>
  <si>
    <t>Waste generated per campus source: Hostels, Canteen, Labs, Offices, Construction | Identifies top generators</t>
  </si>
  <si>
    <t>Campus Source</t>
  </si>
  <si>
    <t>Bio-Degradable
(kg/month)</t>
  </si>
  <si>
    <t>Paper
(kg/month)</t>
  </si>
  <si>
    <t>Plastic
(kg/month)</t>
  </si>
  <si>
    <t>E-Waste
(kg/month)</t>
  </si>
  <si>
    <t>Hazardous
(kg/month)</t>
  </si>
  <si>
    <t>Other
(kg/month)</t>
  </si>
  <si>
    <t>Total
(kg/month)</t>
  </si>
  <si>
    <t>% of Campus
Total</t>
  </si>
  <si>
    <t>Hostel – A</t>
  </si>
  <si>
    <t>Hostel – B</t>
  </si>
  <si>
    <t>Hostel – C</t>
  </si>
  <si>
    <t>Hostel – D</t>
  </si>
  <si>
    <t>Canteen / Mess</t>
  </si>
  <si>
    <t>Academic Block – A</t>
  </si>
  <si>
    <t>Academic Block – B</t>
  </si>
  <si>
    <t>Science / Engineering Labs</t>
  </si>
  <si>
    <t>Library</t>
  </si>
  <si>
    <t>Administrative Block</t>
  </si>
  <si>
    <t>Examination Cell</t>
  </si>
  <si>
    <t>Workshop Complex</t>
  </si>
  <si>
    <t>Computer Centre / IT</t>
  </si>
  <si>
    <t>Health Centre</t>
  </si>
  <si>
    <t>Sports Complex</t>
  </si>
  <si>
    <t>Staff Quarters</t>
  </si>
  <si>
    <t>Guest House</t>
  </si>
  <si>
    <t>Garden / Landscaping</t>
  </si>
  <si>
    <t>Construction Site (if active)</t>
  </si>
  <si>
    <t>CAMPUS TOTAL (Monthly)</t>
  </si>
  <si>
    <t>ANNUAL ESTIMATE (×12)</t>
  </si>
  <si>
    <t>Top Waste Generator — Auto-Identified</t>
  </si>
  <si>
    <t>Highest Waste Generator</t>
  </si>
  <si>
    <t>COMPOSTING &amp; ORGANIC WASTE PROCESSING LOG — A.Y. 2026–27</t>
  </si>
  <si>
    <t>Tracks vermicomposting / pit composting input → output | Calculates compost conversion rate &amp; cost savings</t>
  </si>
  <si>
    <t>Fertilizer cost saved per kg compost (₹) →</t>
  </si>
  <si>
    <t>Organic Waste
Collected (kg)</t>
  </si>
  <si>
    <t>Food Waste
from Canteen (kg)</t>
  </si>
  <si>
    <t>Garden Waste
(kg)</t>
  </si>
  <si>
    <t>Total Input
(kg)</t>
  </si>
  <si>
    <t>Compost Output
(kg)</t>
  </si>
  <si>
    <t>Conversion
Rate (%)</t>
  </si>
  <si>
    <t>Compost Used
in Gardens (kg)</t>
  </si>
  <si>
    <t>Fertilizer Cost
Saved (₹)</t>
  </si>
  <si>
    <t>REVENUE FROM RECYCLING, SCRAP SALE &amp; WASTE MONETIZATION — A.Y. 2026–27</t>
  </si>
  <si>
    <t>Tracks income from sale of paper, metal, plastic, e-waste, timber, scrap equipment | Auto-totalled</t>
  </si>
  <si>
    <t>Recyclable Item</t>
  </si>
  <si>
    <t>Quantity Sold
(kg / units)</t>
  </si>
  <si>
    <t>Rate per kg
(₹)</t>
  </si>
  <si>
    <t>Revenue
Generated (₹)</t>
  </si>
  <si>
    <t>Buyer / Recycler</t>
  </si>
  <si>
    <t>Date of Sale</t>
  </si>
  <si>
    <t>Receipt / Invoice No.</t>
  </si>
  <si>
    <t>Paper / Newspaper</t>
  </si>
  <si>
    <t>Metal Scrap (Steel)</t>
  </si>
  <si>
    <t>Plastic (bottles, packaging)</t>
  </si>
  <si>
    <t>E-Waste (monitors, printers)</t>
  </si>
  <si>
    <t>Electrical Waste (bulbs, wires)</t>
  </si>
  <si>
    <t>Timber / Furniture Scrap</t>
  </si>
  <si>
    <t>Scrap Equipment (lab/office)</t>
  </si>
  <si>
    <t>Compost / Organic Manure Sold</t>
  </si>
  <si>
    <t>Construction Debris (reusable)</t>
  </si>
  <si>
    <t>Other Recyclables</t>
  </si>
  <si>
    <t>TOTAL ANNUAL REVENUE</t>
  </si>
  <si>
    <t>WASTE MANAGEMENT ROADMAP &amp; POLICY–ACTION–OUTCOME TRACKER</t>
  </si>
  <si>
    <t>Short (0–1yr) / Mid (1–3yr) / Long (3–5yr) goals | 6 Policy objectives from HEI framework</t>
  </si>
  <si>
    <t>Initiative / Policy</t>
  </si>
  <si>
    <t>Description &amp; Action Steps</t>
  </si>
  <si>
    <t>Timeline
(Short/Mid/Long)</t>
  </si>
  <si>
    <t>Status
(Done/IP/Planned)</t>
  </si>
  <si>
    <t>Est. Budget
(₹ Lakhs)</t>
  </si>
  <si>
    <t>Evidence</t>
  </si>
  <si>
    <t>Baseline waste audit</t>
  </si>
  <si>
    <t>First campus-wide audit: identify waste types, quantities, sources across hostels, canteen, labs, offices</t>
  </si>
  <si>
    <t>Short</t>
  </si>
  <si>
    <t>IP</t>
  </si>
  <si>
    <t>Color-coded segregation bins</t>
  </si>
  <si>
    <t>Introduce green (wet), blue (dry), red (hazardous) bins at all high-traffic locations</t>
  </si>
  <si>
    <t>Done</t>
  </si>
  <si>
    <t>Staff training on segregation</t>
  </si>
  <si>
    <t>Train housekeeping on segregation protocols; quarterly refresher sessions</t>
  </si>
  <si>
    <t>Awareness campaigns — 3R</t>
  </si>
  <si>
    <t>Poster campaigns, eco-club drives on Reduce-Reuse-Recycle; annual Zero Waste Day</t>
  </si>
  <si>
    <t>Small-scale composting/vermicomposting</t>
  </si>
  <si>
    <t>Pilot compost pit for canteen &amp; garden organic waste</t>
  </si>
  <si>
    <t>Full-scale vermicompost unit</t>
  </si>
  <si>
    <t>Establish permanent composting unit; process all campus biodegradable waste</t>
  </si>
  <si>
    <t>Mid</t>
  </si>
  <si>
    <t>Planned</t>
  </si>
  <si>
    <t>Recycling &amp; scrap hub</t>
  </si>
  <si>
    <t>Create storage hubs for paper, plastic, e-waste, metal; partner with recyclers</t>
  </si>
  <si>
    <t>E-office / digital workflows</t>
  </si>
  <si>
    <t>Mandate e-submissions, digital approvals, green computing to reduce paper waste</t>
  </si>
  <si>
    <t>Annual waste audits institutionalized</t>
  </si>
  <si>
    <t>Biannual audits tracking waste reduction %, landfill diversion rate</t>
  </si>
  <si>
    <t>Municipal / recycler partnerships</t>
  </si>
  <si>
    <t>Formal MoUs with municipal corporation, authorized recyclers, CBWTF operators</t>
  </si>
  <si>
    <t>Student innovation challenges</t>
  </si>
  <si>
    <t>NSS/NCC/eco-club projects on waste reduction; annual waste hackathon</t>
  </si>
  <si>
    <t>IoT-enabled smart bins</t>
  </si>
  <si>
    <t>Deploy smart bins with fill-level sensors + digital dashboard for real-time tracking</t>
  </si>
  <si>
    <t>Long</t>
  </si>
  <si>
    <t>Biogas plant from food waste</t>
  </si>
  <si>
    <t>Convert food waste to biogas for canteen cooking fuel</t>
  </si>
  <si>
    <t>Zero Landfill Campus target</t>
  </si>
  <si>
    <t>Achieve near 100% segregation, recycling &amp; composting; zero waste to landfill</t>
  </si>
  <si>
    <t>Circular economy practices</t>
  </si>
  <si>
    <t>Reuse lab equipment, repurpose materials, closed-loop resource management</t>
  </si>
  <si>
    <t>ISO 14001 / Green Campus certification</t>
  </si>
  <si>
    <t>Leverage waste management data for ISO &amp; Green Campus recognition</t>
  </si>
  <si>
    <t>Progress Summary — Auto-Calculated</t>
  </si>
  <si>
    <t>Total Initiatives</t>
  </si>
  <si>
    <t>Completed</t>
  </si>
  <si>
    <t>In Progress</t>
  </si>
  <si>
    <t>Total Budget (₹ Lakhs)</t>
  </si>
  <si>
    <t>Completion Rate (%)</t>
  </si>
  <si>
    <t>WASTE AUDIT — DATA QUALITY &amp; VALIDATION CHECKLIST</t>
  </si>
  <si>
    <t>Validates waste data for NAAC / NIRF / ISO 14001 / Green Campus / THE Impact submissions</t>
  </si>
  <si>
    <t>Quality Check</t>
  </si>
  <si>
    <t>Description</t>
  </si>
  <si>
    <t>Status
(✓/✗/IP)</t>
  </si>
  <si>
    <t>Date</t>
  </si>
  <si>
    <t>Reviewer</t>
  </si>
  <si>
    <t>Waste categories complete</t>
  </si>
  <si>
    <t>All 14 waste types from institutional classification covered (organic, paper, plastic, e-waste, metal, electrical, glass, timber, sanitary, construction, domestic, biomedical, oil/grease, other)</t>
  </si>
  <si>
    <t>Monthly data continuity</t>
  </si>
  <si>
    <t>12 months of waste data (Apr 2026 – Mar 2027) with no missing months</t>
  </si>
  <si>
    <t>Weighing methodology</t>
  </si>
  <si>
    <t>Waste weighed using calibrated scales at source; not estimated from bin volume</t>
  </si>
  <si>
    <t>Segregation at source verified</t>
  </si>
  <si>
    <t>Color-coded bins (green/blue/red) deployed at all locations; segregation compliance &gt;80%</t>
  </si>
  <si>
    <t>Composting input-output tracked</t>
  </si>
  <si>
    <t>Total organic input, compost output, and conversion rate documented monthly</t>
  </si>
  <si>
    <t>Recycler authorization verified</t>
  </si>
  <si>
    <t>All recyclers / e-waste handlers / CBWTF operators have valid CPCB / SPCB authorization</t>
  </si>
  <si>
    <t>Revenue receipts on file</t>
  </si>
  <si>
    <t>Sale of paper, metal, scrap backed by buyer receipts / invoices / weighbridge slips</t>
  </si>
  <si>
    <t>Diversion rate calculation</t>
  </si>
  <si>
    <t>Diversion = (Recycled + Composted + Sold) / Total Generated × 100; verified for all categories</t>
  </si>
  <si>
    <t>Source-wise inventory reconciled</t>
  </si>
  <si>
    <t>Sum of source-wise monthly waste = total monthly waste in Sheet 2</t>
  </si>
  <si>
    <t>E-waste manifest maintained</t>
  </si>
  <si>
    <t>E-waste collection, storage, and handover to authorized recycler documented per E-Waste Rules 2022</t>
  </si>
  <si>
    <t>Biomedical waste log maintained</t>
  </si>
  <si>
    <t>BMW collection, color-coded segregation, and CBWTF handover logged per BMW Rules 2016</t>
  </si>
  <si>
    <t>Hazardous waste register</t>
  </si>
  <si>
    <t>Chemicals, oil, grease disposal in lined pits documented; no soil contamination evidence</t>
  </si>
  <si>
    <t>Construction waste reuse tracked</t>
  </si>
  <si>
    <t>C&amp;D waste quantity and reuse within campus (landfilling, road repair) documented</t>
  </si>
  <si>
    <t>Sanitary waste incineration log</t>
  </si>
  <si>
    <t>Incinerator operation records, ash disposal, and maintenance log available</t>
  </si>
  <si>
    <t>Per capita calculation correct</t>
  </si>
  <si>
    <t>Waste per capita = Total Annual / Campus Population; population figure verified from AISHE data</t>
  </si>
  <si>
    <t>Previous year comparison</t>
  </si>
  <si>
    <t>Current year data compared with A.Y. 2025–26 to show waste reduction trends</t>
  </si>
  <si>
    <t>Policy document updated</t>
  </si>
  <si>
    <t>Institutional Environmental Policy includes waste management guidelines; Board-approved</t>
  </si>
  <si>
    <t>Student/staff awareness evidence</t>
  </si>
  <si>
    <t>Records of campaigns, workshops, Zero Waste Day celebrations, eco-club activities</t>
  </si>
  <si>
    <t>Accreditation format compliance</t>
  </si>
  <si>
    <t>Data meets NAAC, NIRF, NBA, ISO 14001, QS I-GAUGE, THE Impact Ranking evidence requirements</t>
  </si>
  <si>
    <t>Competent authority sign-off</t>
  </si>
  <si>
    <t>Final Waste Audit Report signed by Principal / Registrar / Environmental Officer</t>
  </si>
  <si>
    <t>Audit Completion Summary</t>
  </si>
  <si>
    <t>Checks Completed (✓)</t>
  </si>
</sst>
</file>

<file path=xl/styles.xml><?xml version="1.0" encoding="utf-8"?>
<styleSheet xmlns="http://schemas.openxmlformats.org/spreadsheetml/2006/main">
  <numFmts count="7">
    <numFmt numFmtId="176" formatCode="0.0\%"/>
    <numFmt numFmtId="177" formatCode="&quot;₹&quot;#,##0"/>
    <numFmt numFmtId="178" formatCode="0.0"/>
    <numFmt numFmtId="179" formatCode="_ * #,##0.00_ ;_ * \-#,##0.00_ ;_ * &quot;-&quot;??_ ;_ @_ "/>
    <numFmt numFmtId="180" formatCode="_ &quot;₹&quot;\ * #,##0.00_ ;_ &quot;₹&quot;\ * \-#,##0.00_ ;_ &quot;₹&quot;\ * &quot;-&quot;??_ ;_ @_ "/>
    <numFmt numFmtId="181" formatCode="_ * #,##0_ ;_ * \-#,##0_ ;_ * &quot;-&quot;_ ;_ @_ "/>
    <numFmt numFmtId="182" formatCode="_ &quot;₹&quot;\ * #,##0_ ;_ &quot;₹&quot;\ * \-#,##0_ ;_ &quot;₹&quot;\ * &quot;-&quot;_ ;_ @_ "/>
  </numFmts>
  <fonts count="32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b/>
      <sz val="10"/>
      <color rgb="FF1A2E4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33691E"/>
      <name val="Arial"/>
      <charset val="1"/>
    </font>
    <font>
      <b/>
      <sz val="12"/>
      <color rgb="FF0000FF"/>
      <name val="Arial"/>
      <charset val="1"/>
    </font>
    <font>
      <b/>
      <sz val="10"/>
      <color rgb="FF2E7D32"/>
      <name val="Arial"/>
      <charset val="1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455A64"/>
        <bgColor rgb="FF33691E"/>
      </patternFill>
    </fill>
    <fill>
      <patternFill patternType="solid">
        <fgColor rgb="FF1B5E20"/>
        <bgColor rgb="FF33691E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1A2E4F"/>
        <bgColor rgb="FF333333"/>
      </patternFill>
    </fill>
    <fill>
      <patternFill patternType="solid">
        <fgColor rgb="FFE8F5E9"/>
        <bgColor rgb="FFF5F5F5"/>
      </patternFill>
    </fill>
    <fill>
      <patternFill patternType="solid">
        <fgColor rgb="FF283593"/>
        <bgColor rgb="FF1A2E4F"/>
      </patternFill>
    </fill>
    <fill>
      <patternFill patternType="solid">
        <fgColor rgb="FFFFF8E1"/>
        <bgColor rgb="FFF5F5F5"/>
      </patternFill>
    </fill>
    <fill>
      <patternFill patternType="solid">
        <fgColor rgb="FFF57F17"/>
        <bgColor rgb="FFFF8F00"/>
      </patternFill>
    </fill>
    <fill>
      <patternFill patternType="solid">
        <fgColor rgb="FF2E7D32"/>
        <bgColor rgb="FF33691E"/>
      </patternFill>
    </fill>
    <fill>
      <patternFill patternType="solid">
        <fgColor rgb="FFE65100"/>
        <bgColor rgb="FFF57F17"/>
      </patternFill>
    </fill>
    <fill>
      <patternFill patternType="solid">
        <fgColor rgb="FF4E342E"/>
        <bgColor rgb="FF333333"/>
      </patternFill>
    </fill>
    <fill>
      <patternFill patternType="solid">
        <fgColor rgb="FF00695C"/>
        <bgColor rgb="FF1B5E20"/>
      </patternFill>
    </fill>
    <fill>
      <patternFill patternType="solid">
        <fgColor rgb="FFFF8F00"/>
        <bgColor rgb="FFF57F17"/>
      </patternFill>
    </fill>
    <fill>
      <patternFill patternType="solid">
        <fgColor rgb="FF33691E"/>
        <bgColor rgb="FF1B5E20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1" fillId="28" borderId="0" applyNumberFormat="0" applyBorder="0" applyAlignment="0" applyProtection="0">
      <alignment vertical="center"/>
    </xf>
    <xf numFmtId="179" fontId="14" fillId="0" borderId="0" applyBorder="0" applyAlignment="0" applyProtection="0"/>
    <xf numFmtId="181" fontId="14" fillId="0" borderId="0" applyBorder="0" applyAlignment="0" applyProtection="0"/>
    <xf numFmtId="182" fontId="14" fillId="0" borderId="0" applyBorder="0" applyAlignment="0" applyProtection="0"/>
    <xf numFmtId="180" fontId="14" fillId="0" borderId="0" applyBorder="0" applyAlignment="0" applyProtection="0"/>
    <xf numFmtId="9" fontId="14" fillId="0" borderId="0" applyBorder="0" applyAlignment="0" applyProtection="0"/>
    <xf numFmtId="0" fontId="15" fillId="19" borderId="2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5" fillId="27" borderId="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25" borderId="4" applyNumberForma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8" fillId="21" borderId="4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1" fillId="47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</cellStyleXfs>
  <cellXfs count="97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178" fontId="7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8" borderId="0" xfId="0" applyFont="1" applyFill="1" applyBorder="1" applyAlignment="1">
      <alignment horizontal="center" vertical="center" wrapText="1"/>
    </xf>
    <xf numFmtId="0" fontId="2" fillId="8" borderId="0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177" fontId="6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177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177" fontId="6" fillId="4" borderId="1" xfId="0" applyNumberFormat="1" applyFont="1" applyFill="1" applyBorder="1" applyAlignment="1">
      <alignment horizontal="center" vertical="center" wrapText="1"/>
    </xf>
    <xf numFmtId="0" fontId="1" fillId="10" borderId="0" xfId="0" applyFont="1" applyFill="1" applyBorder="1" applyAlignment="1">
      <alignment horizontal="center" vertical="center" wrapText="1"/>
    </xf>
    <xf numFmtId="0" fontId="2" fillId="10" borderId="0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3" fontId="6" fillId="5" borderId="1" xfId="0" applyNumberFormat="1" applyFont="1" applyFill="1" applyBorder="1" applyAlignment="1">
      <alignment horizontal="center" vertical="center" wrapText="1"/>
    </xf>
    <xf numFmtId="177" fontId="6" fillId="5" borderId="1" xfId="0" applyNumberFormat="1" applyFont="1" applyFill="1" applyBorder="1" applyAlignment="1">
      <alignment horizontal="center" vertical="center" wrapText="1"/>
    </xf>
    <xf numFmtId="177" fontId="7" fillId="5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177" fontId="7" fillId="4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/>
    <xf numFmtId="177" fontId="3" fillId="10" borderId="1" xfId="0" applyNumberFormat="1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11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178" fontId="7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178" fontId="7" fillId="5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/>
    <xf numFmtId="3" fontId="3" fillId="11" borderId="1" xfId="0" applyNumberFormat="1" applyFont="1" applyFill="1" applyBorder="1" applyAlignment="1">
      <alignment horizontal="center" vertical="center" wrapText="1"/>
    </xf>
    <xf numFmtId="178" fontId="3" fillId="11" borderId="1" xfId="0" applyNumberFormat="1" applyFont="1" applyFill="1" applyBorder="1" applyAlignment="1">
      <alignment horizontal="center" vertical="center" wrapText="1"/>
    </xf>
    <xf numFmtId="177" fontId="3" fillId="11" borderId="1" xfId="0" applyNumberFormat="1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2" fillId="12" borderId="0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3" fontId="3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/>
    <xf numFmtId="0" fontId="3" fillId="13" borderId="1" xfId="0" applyFont="1" applyFill="1" applyBorder="1" applyAlignment="1">
      <alignment horizontal="center" vertical="center" wrapText="1"/>
    </xf>
    <xf numFmtId="3" fontId="3" fillId="13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/>
    <xf numFmtId="0" fontId="1" fillId="14" borderId="0" xfId="0" applyFont="1" applyFill="1" applyBorder="1" applyAlignment="1">
      <alignment horizontal="center" vertical="center" wrapText="1"/>
    </xf>
    <xf numFmtId="0" fontId="2" fillId="14" borderId="0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3" fontId="10" fillId="5" borderId="1" xfId="0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/>
    <xf numFmtId="3" fontId="3" fillId="14" borderId="1" xfId="0" applyNumberFormat="1" applyFont="1" applyFill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2" fontId="7" fillId="7" borderId="1" xfId="0" applyNumberFormat="1" applyFont="1" applyFill="1" applyBorder="1" applyAlignment="1">
      <alignment horizontal="center" vertical="center" wrapText="1"/>
    </xf>
    <xf numFmtId="178" fontId="3" fillId="14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3" fontId="3" fillId="3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3" fillId="15" borderId="1" xfId="0" applyFont="1" applyFill="1" applyBorder="1" applyAlignment="1">
      <alignment horizontal="center" vertical="center" wrapText="1"/>
    </xf>
    <xf numFmtId="176" fontId="3" fillId="15" borderId="1" xfId="0" applyNumberFormat="1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2" fontId="7" fillId="5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1" fillId="16" borderId="0" xfId="0" applyFont="1" applyFill="1" applyBorder="1" applyAlignment="1">
      <alignment horizontal="center" vertical="center" wrapText="1"/>
    </xf>
    <xf numFmtId="0" fontId="2" fillId="16" borderId="0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name val="Arial"/>
        <scheme val="none"/>
        <charset val="1"/>
        <family val="0"/>
        <b val="1"/>
        <sz val="10"/>
        <color rgb="FF2E7D32"/>
      </font>
      <fill>
        <patternFill patternType="solid">
          <bgColor rgb="FFE8F5E9"/>
        </patternFill>
      </fill>
    </dxf>
    <dxf>
      <font>
        <name val="Arial"/>
        <scheme val="none"/>
        <charset val="1"/>
        <family val="0"/>
        <b val="1"/>
        <sz val="10"/>
        <color rgb="FFC62828"/>
      </font>
      <fill>
        <patternFill patternType="solid">
          <bgColor rgb="FFFFEBE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B5E20"/>
      <rgbColor rgb="00000080"/>
      <rgbColor rgb="00808000"/>
      <rgbColor rgb="00800080"/>
      <rgbColor rgb="0000695C"/>
      <rgbColor rgb="00BDBDBD"/>
      <rgbColor rgb="00808080"/>
      <rgbColor rgb="009999FF"/>
      <rgbColor rgb="00993366"/>
      <rgbColor rgb="00FFF8E1"/>
      <rgbColor rgb="00E8F5E9"/>
      <rgbColor rgb="00660066"/>
      <rgbColor rgb="00F57F17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33691E"/>
      <rgbColor rgb="000000FF"/>
      <rgbColor rgb="0000CCFF"/>
      <rgbColor rgb="00F5F5F5"/>
      <rgbColor rgb="00CCFFCC"/>
      <rgbColor rgb="00FFEBEE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8F00"/>
      <rgbColor rgb="00E65100"/>
      <rgbColor rgb="00455A64"/>
      <rgbColor rgb="00969696"/>
      <rgbColor rgb="001A2E4F"/>
      <rgbColor rgb="002E7D32"/>
      <rgbColor rgb="00003300"/>
      <rgbColor rgb="004E342E"/>
      <rgbColor rgb="00C62828"/>
      <rgbColor rgb="00993366"/>
      <rgbColor rgb="00283593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3691E"/>
  </sheetPr>
  <dimension ref="A1:F18"/>
  <sheetViews>
    <sheetView topLeftCell="A12" workbookViewId="0">
      <selection activeCell="A1" sqref="A1:F18"/>
    </sheetView>
  </sheetViews>
  <sheetFormatPr defaultColWidth="8.67592592592593" defaultRowHeight="14.4" outlineLevelCol="5"/>
  <cols>
    <col min="1" max="1" width="6" customWidth="1"/>
    <col min="2" max="2" width="24" customWidth="1"/>
    <col min="3" max="3" width="22" customWidth="1"/>
    <col min="4" max="4" width="26" customWidth="1"/>
    <col min="5" max="5" width="22" customWidth="1"/>
    <col min="6" max="6" width="24" customWidth="1"/>
  </cols>
  <sheetData>
    <row r="1" ht="37.5" customHeight="1" spans="1:6">
      <c r="A1" s="94" t="s">
        <v>0</v>
      </c>
      <c r="B1" s="94"/>
      <c r="C1" s="94"/>
      <c r="D1" s="94"/>
      <c r="E1" s="94"/>
      <c r="F1" s="94"/>
    </row>
    <row r="2" ht="25.5" customHeight="1" spans="1:6">
      <c r="A2" s="95" t="s">
        <v>1</v>
      </c>
      <c r="B2" s="95"/>
      <c r="C2" s="95"/>
      <c r="D2" s="95"/>
      <c r="E2" s="95"/>
      <c r="F2" s="95"/>
    </row>
    <row r="4" ht="39.75" customHeight="1" spans="1:6">
      <c r="A4" s="96" t="s">
        <v>2</v>
      </c>
      <c r="B4" s="96" t="s">
        <v>3</v>
      </c>
      <c r="C4" s="96" t="s">
        <v>4</v>
      </c>
      <c r="D4" s="96" t="s">
        <v>5</v>
      </c>
      <c r="E4" s="96" t="s">
        <v>6</v>
      </c>
      <c r="F4" s="96" t="s">
        <v>7</v>
      </c>
    </row>
    <row r="5" ht="43.5" customHeight="1" spans="1:6">
      <c r="A5" s="8">
        <v>1</v>
      </c>
      <c r="B5" s="37" t="s">
        <v>8</v>
      </c>
      <c r="C5" s="10" t="s">
        <v>9</v>
      </c>
      <c r="D5" s="10" t="s">
        <v>10</v>
      </c>
      <c r="E5" s="10" t="s">
        <v>11</v>
      </c>
      <c r="F5" s="10" t="s">
        <v>12</v>
      </c>
    </row>
    <row r="6" ht="43.5" customHeight="1" spans="1:6">
      <c r="A6" s="4">
        <v>2</v>
      </c>
      <c r="B6" s="31" t="s">
        <v>13</v>
      </c>
      <c r="C6" s="6" t="s">
        <v>14</v>
      </c>
      <c r="D6" s="6" t="s">
        <v>15</v>
      </c>
      <c r="E6" s="6" t="s">
        <v>16</v>
      </c>
      <c r="F6" s="6" t="s">
        <v>17</v>
      </c>
    </row>
    <row r="7" ht="43.5" customHeight="1" spans="1:6">
      <c r="A7" s="8">
        <v>3</v>
      </c>
      <c r="B7" s="37" t="s">
        <v>18</v>
      </c>
      <c r="C7" s="10" t="s">
        <v>19</v>
      </c>
      <c r="D7" s="10" t="s">
        <v>20</v>
      </c>
      <c r="E7" s="10" t="s">
        <v>21</v>
      </c>
      <c r="F7" s="10" t="s">
        <v>22</v>
      </c>
    </row>
    <row r="8" ht="43.5" customHeight="1" spans="1:6">
      <c r="A8" s="4">
        <v>4</v>
      </c>
      <c r="B8" s="31" t="s">
        <v>23</v>
      </c>
      <c r="C8" s="6" t="s">
        <v>24</v>
      </c>
      <c r="D8" s="6" t="s">
        <v>25</v>
      </c>
      <c r="E8" s="6" t="s">
        <v>16</v>
      </c>
      <c r="F8" s="6" t="s">
        <v>26</v>
      </c>
    </row>
    <row r="9" ht="43.5" customHeight="1" spans="1:6">
      <c r="A9" s="8">
        <v>5</v>
      </c>
      <c r="B9" s="37" t="s">
        <v>27</v>
      </c>
      <c r="C9" s="10" t="s">
        <v>28</v>
      </c>
      <c r="D9" s="10" t="s">
        <v>29</v>
      </c>
      <c r="E9" s="10" t="s">
        <v>30</v>
      </c>
      <c r="F9" s="10" t="s">
        <v>31</v>
      </c>
    </row>
    <row r="10" ht="43.5" customHeight="1" spans="1:6">
      <c r="A10" s="4">
        <v>6</v>
      </c>
      <c r="B10" s="31" t="s">
        <v>32</v>
      </c>
      <c r="C10" s="6" t="s">
        <v>33</v>
      </c>
      <c r="D10" s="6" t="s">
        <v>34</v>
      </c>
      <c r="E10" s="6" t="s">
        <v>16</v>
      </c>
      <c r="F10" s="6" t="s">
        <v>35</v>
      </c>
    </row>
    <row r="11" ht="43.5" customHeight="1" spans="1:6">
      <c r="A11" s="8">
        <v>7</v>
      </c>
      <c r="B11" s="37" t="s">
        <v>36</v>
      </c>
      <c r="C11" s="10" t="s">
        <v>37</v>
      </c>
      <c r="D11" s="10" t="s">
        <v>38</v>
      </c>
      <c r="E11" s="10" t="s">
        <v>16</v>
      </c>
      <c r="F11" s="10" t="s">
        <v>39</v>
      </c>
    </row>
    <row r="12" ht="43.5" customHeight="1" spans="1:6">
      <c r="A12" s="4">
        <v>8</v>
      </c>
      <c r="B12" s="31" t="s">
        <v>40</v>
      </c>
      <c r="C12" s="6" t="s">
        <v>41</v>
      </c>
      <c r="D12" s="6" t="s">
        <v>42</v>
      </c>
      <c r="E12" s="6" t="s">
        <v>16</v>
      </c>
      <c r="F12" s="6" t="s">
        <v>43</v>
      </c>
    </row>
    <row r="13" ht="43.5" customHeight="1" spans="1:6">
      <c r="A13" s="8">
        <v>9</v>
      </c>
      <c r="B13" s="37" t="s">
        <v>44</v>
      </c>
      <c r="C13" s="10" t="s">
        <v>45</v>
      </c>
      <c r="D13" s="10" t="s">
        <v>46</v>
      </c>
      <c r="E13" s="10" t="s">
        <v>47</v>
      </c>
      <c r="F13" s="10" t="s">
        <v>48</v>
      </c>
    </row>
    <row r="14" ht="43.5" customHeight="1" spans="1:6">
      <c r="A14" s="4">
        <v>10</v>
      </c>
      <c r="B14" s="31" t="s">
        <v>49</v>
      </c>
      <c r="C14" s="6" t="s">
        <v>50</v>
      </c>
      <c r="D14" s="6" t="s">
        <v>51</v>
      </c>
      <c r="E14" s="6" t="s">
        <v>52</v>
      </c>
      <c r="F14" s="6" t="s">
        <v>53</v>
      </c>
    </row>
    <row r="15" ht="43.5" customHeight="1" spans="1:6">
      <c r="A15" s="8">
        <v>11</v>
      </c>
      <c r="B15" s="37" t="s">
        <v>54</v>
      </c>
      <c r="C15" s="10" t="s">
        <v>55</v>
      </c>
      <c r="D15" s="10" t="s">
        <v>56</v>
      </c>
      <c r="E15" s="10" t="s">
        <v>57</v>
      </c>
      <c r="F15" s="10" t="s">
        <v>58</v>
      </c>
    </row>
    <row r="16" ht="43.5" customHeight="1" spans="1:6">
      <c r="A16" s="4">
        <v>12</v>
      </c>
      <c r="B16" s="31" t="s">
        <v>59</v>
      </c>
      <c r="C16" s="6" t="s">
        <v>60</v>
      </c>
      <c r="D16" s="6" t="s">
        <v>61</v>
      </c>
      <c r="E16" s="6" t="s">
        <v>62</v>
      </c>
      <c r="F16" s="6" t="s">
        <v>63</v>
      </c>
    </row>
    <row r="17" ht="43.5" customHeight="1" spans="1:6">
      <c r="A17" s="8">
        <v>13</v>
      </c>
      <c r="B17" s="37" t="s">
        <v>64</v>
      </c>
      <c r="C17" s="10" t="s">
        <v>65</v>
      </c>
      <c r="D17" s="10" t="s">
        <v>66</v>
      </c>
      <c r="E17" s="10" t="s">
        <v>67</v>
      </c>
      <c r="F17" s="10" t="s">
        <v>68</v>
      </c>
    </row>
    <row r="18" ht="43.5" customHeight="1" spans="1:6">
      <c r="A18" s="4">
        <v>14</v>
      </c>
      <c r="B18" s="31" t="s">
        <v>69</v>
      </c>
      <c r="C18" s="6" t="s">
        <v>70</v>
      </c>
      <c r="D18" s="6" t="s">
        <v>71</v>
      </c>
      <c r="E18" s="6" t="s">
        <v>52</v>
      </c>
      <c r="F18" s="6" t="s">
        <v>72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B5E20"/>
  </sheetPr>
  <dimension ref="A1:R20"/>
  <sheetViews>
    <sheetView topLeftCell="F1" workbookViewId="0">
      <selection activeCell="A1" sqref="A1:R20"/>
    </sheetView>
  </sheetViews>
  <sheetFormatPr defaultColWidth="8.67592592592593" defaultRowHeight="14.4"/>
  <cols>
    <col min="1" max="1" width="8" customWidth="1"/>
    <col min="2" max="2" width="16" customWidth="1"/>
    <col min="3" max="16" width="14" customWidth="1"/>
    <col min="17" max="18" width="16" customWidth="1"/>
  </cols>
  <sheetData>
    <row r="1" ht="37.5" customHeight="1" spans="1:18">
      <c r="A1" s="84" t="s">
        <v>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ht="25.5" customHeight="1" spans="1:18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15" customHeight="1" spans="1:18">
      <c r="A3" s="47" t="s">
        <v>75</v>
      </c>
      <c r="B3" s="47"/>
      <c r="C3" s="47"/>
      <c r="D3" s="47"/>
      <c r="E3" s="48">
        <v>5000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5" ht="39.75" customHeight="1" spans="1:18">
      <c r="A5" s="85" t="s">
        <v>76</v>
      </c>
      <c r="B5" s="85" t="s">
        <v>77</v>
      </c>
      <c r="C5" s="85" t="s">
        <v>78</v>
      </c>
      <c r="D5" s="85" t="s">
        <v>79</v>
      </c>
      <c r="E5" s="85" t="s">
        <v>80</v>
      </c>
      <c r="F5" s="85" t="s">
        <v>81</v>
      </c>
      <c r="G5" s="85" t="s">
        <v>82</v>
      </c>
      <c r="H5" s="85" t="s">
        <v>83</v>
      </c>
      <c r="I5" s="85" t="s">
        <v>84</v>
      </c>
      <c r="J5" s="85" t="s">
        <v>85</v>
      </c>
      <c r="K5" s="85" t="s">
        <v>86</v>
      </c>
      <c r="L5" s="85" t="s">
        <v>87</v>
      </c>
      <c r="M5" s="85" t="s">
        <v>88</v>
      </c>
      <c r="N5" s="85" t="s">
        <v>89</v>
      </c>
      <c r="O5" s="85" t="s">
        <v>90</v>
      </c>
      <c r="P5" s="85" t="s">
        <v>91</v>
      </c>
      <c r="Q5" s="85" t="s">
        <v>92</v>
      </c>
      <c r="R5" s="85" t="s">
        <v>93</v>
      </c>
    </row>
    <row r="6" spans="1:18">
      <c r="A6" s="4">
        <v>1</v>
      </c>
      <c r="B6" s="51" t="s">
        <v>94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52">
        <f t="shared" ref="Q6:Q17" si="0">SUM(C6:P6)</f>
        <v>0</v>
      </c>
      <c r="R6" s="91">
        <f>IF($E$3&gt;0,Q6/$E$3,0)</f>
        <v>0</v>
      </c>
    </row>
    <row r="7" spans="1:18">
      <c r="A7" s="8">
        <v>2</v>
      </c>
      <c r="B7" s="54" t="s">
        <v>95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55">
        <f t="shared" si="0"/>
        <v>0</v>
      </c>
      <c r="R7" s="92">
        <f>IF($E$3&gt;0,Q7/$E$3,0)</f>
        <v>0</v>
      </c>
    </row>
    <row r="8" spans="1:18">
      <c r="A8" s="4">
        <v>3</v>
      </c>
      <c r="B8" s="51" t="s">
        <v>96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52">
        <f t="shared" si="0"/>
        <v>0</v>
      </c>
      <c r="R8" s="91">
        <f>IF($E$3&gt;0,Q8/$E$3,0)</f>
        <v>0</v>
      </c>
    </row>
    <row r="9" spans="1:18">
      <c r="A9" s="8">
        <v>4</v>
      </c>
      <c r="B9" s="54" t="s">
        <v>97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55">
        <f t="shared" si="0"/>
        <v>0</v>
      </c>
      <c r="R9" s="92">
        <f>IF($E$3&gt;0,Q9/$E$3,0)</f>
        <v>0</v>
      </c>
    </row>
    <row r="10" spans="1:18">
      <c r="A10" s="4">
        <v>5</v>
      </c>
      <c r="B10" s="51" t="s">
        <v>98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52">
        <f t="shared" si="0"/>
        <v>0</v>
      </c>
      <c r="R10" s="91">
        <f>IF($E$3&gt;0,Q10/$E$3,0)</f>
        <v>0</v>
      </c>
    </row>
    <row r="11" spans="1:18">
      <c r="A11" s="8">
        <v>6</v>
      </c>
      <c r="B11" s="54" t="s">
        <v>99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55">
        <f t="shared" si="0"/>
        <v>0</v>
      </c>
      <c r="R11" s="92">
        <f>IF($E$3&gt;0,Q11/$E$3,0)</f>
        <v>0</v>
      </c>
    </row>
    <row r="12" spans="1:18">
      <c r="A12" s="4">
        <v>7</v>
      </c>
      <c r="B12" s="51" t="s">
        <v>100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52">
        <f t="shared" si="0"/>
        <v>0</v>
      </c>
      <c r="R12" s="91">
        <f>IF($E$3&gt;0,Q12/$E$3,0)</f>
        <v>0</v>
      </c>
    </row>
    <row r="13" spans="1:18">
      <c r="A13" s="8">
        <v>8</v>
      </c>
      <c r="B13" s="54" t="s">
        <v>101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55">
        <f t="shared" si="0"/>
        <v>0</v>
      </c>
      <c r="R13" s="92">
        <f>IF($E$3&gt;0,Q13/$E$3,0)</f>
        <v>0</v>
      </c>
    </row>
    <row r="14" spans="1:18">
      <c r="A14" s="4">
        <v>9</v>
      </c>
      <c r="B14" s="51" t="s">
        <v>102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52">
        <f t="shared" si="0"/>
        <v>0</v>
      </c>
      <c r="R14" s="91">
        <f>IF($E$3&gt;0,Q14/$E$3,0)</f>
        <v>0</v>
      </c>
    </row>
    <row r="15" spans="1:18">
      <c r="A15" s="8">
        <v>10</v>
      </c>
      <c r="B15" s="54" t="s">
        <v>103</v>
      </c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55">
        <f t="shared" si="0"/>
        <v>0</v>
      </c>
      <c r="R15" s="92">
        <f>IF($E$3&gt;0,Q15/$E$3,0)</f>
        <v>0</v>
      </c>
    </row>
    <row r="16" spans="1:18">
      <c r="A16" s="4">
        <v>11</v>
      </c>
      <c r="B16" s="51" t="s">
        <v>104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52">
        <f t="shared" si="0"/>
        <v>0</v>
      </c>
      <c r="R16" s="91">
        <f>IF($E$3&gt;0,Q16/$E$3,0)</f>
        <v>0</v>
      </c>
    </row>
    <row r="17" spans="1:18">
      <c r="A17" s="8">
        <v>12</v>
      </c>
      <c r="B17" s="54" t="s">
        <v>105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55">
        <f t="shared" si="0"/>
        <v>0</v>
      </c>
      <c r="R17" s="92">
        <f>IF($E$3&gt;0,Q17/$E$3,0)</f>
        <v>0</v>
      </c>
    </row>
    <row r="18" ht="30" customHeight="1" spans="1:18">
      <c r="A18" s="86"/>
      <c r="B18" s="85" t="s">
        <v>106</v>
      </c>
      <c r="C18" s="87">
        <f t="shared" ref="C18:Q18" si="1">SUM(C6:C17)</f>
        <v>0</v>
      </c>
      <c r="D18" s="87">
        <f t="shared" si="1"/>
        <v>0</v>
      </c>
      <c r="E18" s="87">
        <f t="shared" si="1"/>
        <v>0</v>
      </c>
      <c r="F18" s="87">
        <f t="shared" si="1"/>
        <v>0</v>
      </c>
      <c r="G18" s="87">
        <f t="shared" si="1"/>
        <v>0</v>
      </c>
      <c r="H18" s="87">
        <f t="shared" si="1"/>
        <v>0</v>
      </c>
      <c r="I18" s="87">
        <f t="shared" si="1"/>
        <v>0</v>
      </c>
      <c r="J18" s="87">
        <f t="shared" si="1"/>
        <v>0</v>
      </c>
      <c r="K18" s="87">
        <f t="shared" si="1"/>
        <v>0</v>
      </c>
      <c r="L18" s="87">
        <f t="shared" si="1"/>
        <v>0</v>
      </c>
      <c r="M18" s="87">
        <f t="shared" si="1"/>
        <v>0</v>
      </c>
      <c r="N18" s="87">
        <f t="shared" si="1"/>
        <v>0</v>
      </c>
      <c r="O18" s="87">
        <f t="shared" si="1"/>
        <v>0</v>
      </c>
      <c r="P18" s="87">
        <f t="shared" si="1"/>
        <v>0</v>
      </c>
      <c r="Q18" s="87">
        <f t="shared" si="1"/>
        <v>0</v>
      </c>
      <c r="R18" s="93">
        <f>IF($E$3&gt;0,Q18/$E$3,0)</f>
        <v>0</v>
      </c>
    </row>
    <row r="19" ht="26.4" spans="1:18">
      <c r="A19" s="78"/>
      <c r="B19" s="75" t="s">
        <v>107</v>
      </c>
      <c r="C19" s="79">
        <f t="shared" ref="C19:R19" si="2">IFERROR(AVERAGE(C6:C17),0)</f>
        <v>0</v>
      </c>
      <c r="D19" s="79">
        <f t="shared" si="2"/>
        <v>0</v>
      </c>
      <c r="E19" s="79">
        <f t="shared" si="2"/>
        <v>0</v>
      </c>
      <c r="F19" s="79">
        <f t="shared" si="2"/>
        <v>0</v>
      </c>
      <c r="G19" s="79">
        <f t="shared" si="2"/>
        <v>0</v>
      </c>
      <c r="H19" s="79">
        <f t="shared" si="2"/>
        <v>0</v>
      </c>
      <c r="I19" s="79">
        <f t="shared" si="2"/>
        <v>0</v>
      </c>
      <c r="J19" s="79">
        <f t="shared" si="2"/>
        <v>0</v>
      </c>
      <c r="K19" s="79">
        <f t="shared" si="2"/>
        <v>0</v>
      </c>
      <c r="L19" s="79">
        <f t="shared" si="2"/>
        <v>0</v>
      </c>
      <c r="M19" s="79">
        <f t="shared" si="2"/>
        <v>0</v>
      </c>
      <c r="N19" s="79">
        <f t="shared" si="2"/>
        <v>0</v>
      </c>
      <c r="O19" s="79">
        <f t="shared" si="2"/>
        <v>0</v>
      </c>
      <c r="P19" s="79">
        <f t="shared" si="2"/>
        <v>0</v>
      </c>
      <c r="Q19" s="79">
        <f t="shared" si="2"/>
        <v>0</v>
      </c>
      <c r="R19" s="79">
        <f t="shared" si="2"/>
        <v>0</v>
      </c>
    </row>
    <row r="20" spans="1:18">
      <c r="A20" s="88"/>
      <c r="B20" s="89" t="s">
        <v>108</v>
      </c>
      <c r="C20" s="90">
        <f>IF(Q18&gt;0,C18/Q18*100,0)</f>
        <v>0</v>
      </c>
      <c r="D20" s="90">
        <f>IF(Q18&gt;0,D18/Q18*100,0)</f>
        <v>0</v>
      </c>
      <c r="E20" s="90">
        <f>IF(Q18&gt;0,E18/Q18*100,0)</f>
        <v>0</v>
      </c>
      <c r="F20" s="90">
        <f>IF(Q18&gt;0,F18/Q18*100,0)</f>
        <v>0</v>
      </c>
      <c r="G20" s="90">
        <f>IF(Q18&gt;0,G18/Q18*100,0)</f>
        <v>0</v>
      </c>
      <c r="H20" s="90">
        <f>IF(Q18&gt;0,H18/Q18*100,0)</f>
        <v>0</v>
      </c>
      <c r="I20" s="90">
        <f>IF(Q18&gt;0,I18/Q18*100,0)</f>
        <v>0</v>
      </c>
      <c r="J20" s="90">
        <f>IF(Q18&gt;0,J18/Q18*100,0)</f>
        <v>0</v>
      </c>
      <c r="K20" s="90">
        <f>IF(Q18&gt;0,K18/Q18*100,0)</f>
        <v>0</v>
      </c>
      <c r="L20" s="90">
        <f>IF(Q18&gt;0,L18/Q18*100,0)</f>
        <v>0</v>
      </c>
      <c r="M20" s="90">
        <f>IF(Q18&gt;0,M18/Q18*100,0)</f>
        <v>0</v>
      </c>
      <c r="N20" s="90">
        <f>IF(Q18&gt;0,N18/Q18*100,0)</f>
        <v>0</v>
      </c>
      <c r="O20" s="90">
        <f>IF(Q18&gt;0,O18/Q18*100,0)</f>
        <v>0</v>
      </c>
      <c r="P20" s="90">
        <f>IF(Q18&gt;0,P18/Q18*100,0)</f>
        <v>0</v>
      </c>
      <c r="Q20" s="88"/>
      <c r="R20" s="88"/>
    </row>
  </sheetData>
  <mergeCells count="3">
    <mergeCell ref="A1:R1"/>
    <mergeCell ref="A2:R2"/>
    <mergeCell ref="A3:D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695C"/>
  </sheetPr>
  <dimension ref="A1:J31"/>
  <sheetViews>
    <sheetView workbookViewId="0">
      <selection activeCell="A1" sqref="A1:J31"/>
    </sheetView>
  </sheetViews>
  <sheetFormatPr defaultColWidth="8.67592592592593" defaultRowHeight="14.4"/>
  <cols>
    <col min="1" max="1" width="8" customWidth="1"/>
    <col min="2" max="2" width="20" customWidth="1"/>
    <col min="3" max="9" width="18" customWidth="1"/>
    <col min="10" max="10" width="20" customWidth="1"/>
  </cols>
  <sheetData>
    <row r="1" ht="37.5" customHeight="1" spans="1:10">
      <c r="A1" s="73" t="s">
        <v>109</v>
      </c>
      <c r="B1" s="73"/>
      <c r="C1" s="73"/>
      <c r="D1" s="73"/>
      <c r="E1" s="73"/>
      <c r="F1" s="73"/>
      <c r="G1" s="73"/>
      <c r="H1" s="73"/>
      <c r="I1" s="73"/>
      <c r="J1" s="73"/>
    </row>
    <row r="2" ht="25.5" customHeight="1" spans="1:10">
      <c r="A2" s="74" t="s">
        <v>110</v>
      </c>
      <c r="B2" s="74"/>
      <c r="C2" s="74"/>
      <c r="D2" s="74"/>
      <c r="E2" s="74"/>
      <c r="F2" s="74"/>
      <c r="G2" s="74"/>
      <c r="H2" s="74"/>
      <c r="I2" s="74"/>
      <c r="J2" s="74"/>
    </row>
    <row r="4" ht="39.75" customHeight="1" spans="1:10">
      <c r="A4" s="75" t="s">
        <v>76</v>
      </c>
      <c r="B4" s="75" t="s">
        <v>111</v>
      </c>
      <c r="C4" s="75" t="s">
        <v>112</v>
      </c>
      <c r="D4" s="75" t="s">
        <v>113</v>
      </c>
      <c r="E4" s="75" t="s">
        <v>114</v>
      </c>
      <c r="F4" s="75" t="s">
        <v>115</v>
      </c>
      <c r="G4" s="75" t="s">
        <v>116</v>
      </c>
      <c r="H4" s="75" t="s">
        <v>117</v>
      </c>
      <c r="I4" s="75" t="s">
        <v>118</v>
      </c>
      <c r="J4" s="75" t="s">
        <v>119</v>
      </c>
    </row>
    <row r="5" ht="26.4" spans="1:10">
      <c r="A5" s="8">
        <v>1</v>
      </c>
      <c r="B5" s="37" t="s">
        <v>120</v>
      </c>
      <c r="C5" s="76">
        <f>'2. Monthly Waste Data'!C18</f>
        <v>0</v>
      </c>
      <c r="D5" s="38"/>
      <c r="E5" s="38"/>
      <c r="F5" s="38"/>
      <c r="G5" s="38"/>
      <c r="H5" s="38"/>
      <c r="I5" s="56">
        <f t="shared" ref="I5:I19" si="0">IF(C5&gt;0,(D5+E5+G5)/C5*100,0)</f>
        <v>0</v>
      </c>
      <c r="J5" s="10" t="s">
        <v>121</v>
      </c>
    </row>
    <row r="6" ht="26.4" spans="1:10">
      <c r="A6" s="4">
        <v>2</v>
      </c>
      <c r="B6" s="31" t="s">
        <v>32</v>
      </c>
      <c r="C6" s="77">
        <f>'2. Monthly Waste Data'!D18</f>
        <v>0</v>
      </c>
      <c r="D6" s="41"/>
      <c r="E6" s="41"/>
      <c r="F6" s="41"/>
      <c r="G6" s="41"/>
      <c r="H6" s="41"/>
      <c r="I6" s="53">
        <f t="shared" si="0"/>
        <v>0</v>
      </c>
      <c r="J6" s="6" t="s">
        <v>122</v>
      </c>
    </row>
    <row r="7" ht="26.4" spans="1:10">
      <c r="A7" s="8">
        <v>3</v>
      </c>
      <c r="B7" s="37" t="s">
        <v>54</v>
      </c>
      <c r="C7" s="76">
        <f>'2. Monthly Waste Data'!E18</f>
        <v>0</v>
      </c>
      <c r="D7" s="38"/>
      <c r="E7" s="38"/>
      <c r="F7" s="38"/>
      <c r="G7" s="38"/>
      <c r="H7" s="38"/>
      <c r="I7" s="56">
        <f t="shared" si="0"/>
        <v>0</v>
      </c>
      <c r="J7" s="10" t="s">
        <v>123</v>
      </c>
    </row>
    <row r="8" ht="26.4" spans="1:10">
      <c r="A8" s="4">
        <v>4</v>
      </c>
      <c r="B8" s="31" t="s">
        <v>8</v>
      </c>
      <c r="C8" s="77">
        <f>'2. Monthly Waste Data'!F18</f>
        <v>0</v>
      </c>
      <c r="D8" s="41"/>
      <c r="E8" s="41"/>
      <c r="F8" s="41"/>
      <c r="G8" s="41"/>
      <c r="H8" s="41"/>
      <c r="I8" s="53">
        <f t="shared" si="0"/>
        <v>0</v>
      </c>
      <c r="J8" s="6" t="s">
        <v>124</v>
      </c>
    </row>
    <row r="9" spans="1:10">
      <c r="A9" s="8">
        <v>5</v>
      </c>
      <c r="B9" s="37" t="s">
        <v>36</v>
      </c>
      <c r="C9" s="76">
        <f>'2. Monthly Waste Data'!G18</f>
        <v>0</v>
      </c>
      <c r="D9" s="38"/>
      <c r="E9" s="38"/>
      <c r="F9" s="38"/>
      <c r="G9" s="38"/>
      <c r="H9" s="38"/>
      <c r="I9" s="56">
        <f t="shared" si="0"/>
        <v>0</v>
      </c>
      <c r="J9" s="10" t="s">
        <v>125</v>
      </c>
    </row>
    <row r="10" spans="1:10">
      <c r="A10" s="4">
        <v>6</v>
      </c>
      <c r="B10" s="31" t="s">
        <v>27</v>
      </c>
      <c r="C10" s="77">
        <f>'2. Monthly Waste Data'!H18</f>
        <v>0</v>
      </c>
      <c r="D10" s="41"/>
      <c r="E10" s="41"/>
      <c r="F10" s="41"/>
      <c r="G10" s="41"/>
      <c r="H10" s="41"/>
      <c r="I10" s="53">
        <f t="shared" si="0"/>
        <v>0</v>
      </c>
      <c r="J10" s="6" t="s">
        <v>126</v>
      </c>
    </row>
    <row r="11" spans="1:10">
      <c r="A11" s="8">
        <v>7</v>
      </c>
      <c r="B11" s="37" t="s">
        <v>127</v>
      </c>
      <c r="C11" s="76">
        <f>'2. Monthly Waste Data'!I18</f>
        <v>0</v>
      </c>
      <c r="D11" s="38"/>
      <c r="E11" s="38"/>
      <c r="F11" s="38"/>
      <c r="G11" s="38"/>
      <c r="H11" s="38"/>
      <c r="I11" s="56">
        <f t="shared" si="0"/>
        <v>0</v>
      </c>
      <c r="J11" s="10" t="s">
        <v>128</v>
      </c>
    </row>
    <row r="12" spans="1:10">
      <c r="A12" s="4">
        <v>8</v>
      </c>
      <c r="B12" s="31" t="s">
        <v>40</v>
      </c>
      <c r="C12" s="77">
        <f>'2. Monthly Waste Data'!J18</f>
        <v>0</v>
      </c>
      <c r="D12" s="41"/>
      <c r="E12" s="41"/>
      <c r="F12" s="41"/>
      <c r="G12" s="41"/>
      <c r="H12" s="41"/>
      <c r="I12" s="53">
        <f t="shared" si="0"/>
        <v>0</v>
      </c>
      <c r="J12" s="6" t="s">
        <v>129</v>
      </c>
    </row>
    <row r="13" spans="1:10">
      <c r="A13" s="8">
        <v>9</v>
      </c>
      <c r="B13" s="37" t="s">
        <v>49</v>
      </c>
      <c r="C13" s="76">
        <f>'2. Monthly Waste Data'!K18</f>
        <v>0</v>
      </c>
      <c r="D13" s="38"/>
      <c r="E13" s="38"/>
      <c r="F13" s="38"/>
      <c r="G13" s="38"/>
      <c r="H13" s="38"/>
      <c r="I13" s="56">
        <f t="shared" si="0"/>
        <v>0</v>
      </c>
      <c r="J13" s="10" t="s">
        <v>130</v>
      </c>
    </row>
    <row r="14" ht="26.4" spans="1:10">
      <c r="A14" s="4">
        <v>10</v>
      </c>
      <c r="B14" s="31" t="s">
        <v>64</v>
      </c>
      <c r="C14" s="77">
        <f>'2. Monthly Waste Data'!L18</f>
        <v>0</v>
      </c>
      <c r="D14" s="41"/>
      <c r="E14" s="41"/>
      <c r="F14" s="41"/>
      <c r="G14" s="41"/>
      <c r="H14" s="41"/>
      <c r="I14" s="53">
        <f t="shared" si="0"/>
        <v>0</v>
      </c>
      <c r="J14" s="6" t="s">
        <v>131</v>
      </c>
    </row>
    <row r="15" spans="1:10">
      <c r="A15" s="8">
        <v>11</v>
      </c>
      <c r="B15" s="37" t="s">
        <v>132</v>
      </c>
      <c r="C15" s="76">
        <f>'2. Monthly Waste Data'!M18</f>
        <v>0</v>
      </c>
      <c r="D15" s="38"/>
      <c r="E15" s="38"/>
      <c r="F15" s="38"/>
      <c r="G15" s="38"/>
      <c r="H15" s="38"/>
      <c r="I15" s="56">
        <f t="shared" si="0"/>
        <v>0</v>
      </c>
      <c r="J15" s="10" t="s">
        <v>133</v>
      </c>
    </row>
    <row r="16" spans="1:10">
      <c r="A16" s="4">
        <v>12</v>
      </c>
      <c r="B16" s="31" t="s">
        <v>69</v>
      </c>
      <c r="C16" s="77">
        <f>'2. Monthly Waste Data'!N18</f>
        <v>0</v>
      </c>
      <c r="D16" s="41"/>
      <c r="E16" s="41"/>
      <c r="F16" s="41"/>
      <c r="G16" s="41"/>
      <c r="H16" s="41"/>
      <c r="I16" s="53">
        <f t="shared" si="0"/>
        <v>0</v>
      </c>
      <c r="J16" s="6" t="s">
        <v>134</v>
      </c>
    </row>
    <row r="17" spans="1:10">
      <c r="A17" s="8">
        <v>13</v>
      </c>
      <c r="B17" s="37" t="s">
        <v>135</v>
      </c>
      <c r="C17" s="76">
        <f>'2. Monthly Waste Data'!O18</f>
        <v>0</v>
      </c>
      <c r="D17" s="38"/>
      <c r="E17" s="38"/>
      <c r="F17" s="38"/>
      <c r="G17" s="38"/>
      <c r="H17" s="38"/>
      <c r="I17" s="56">
        <f t="shared" si="0"/>
        <v>0</v>
      </c>
      <c r="J17" s="10" t="s">
        <v>128</v>
      </c>
    </row>
    <row r="18" spans="1:10">
      <c r="A18" s="4">
        <v>14</v>
      </c>
      <c r="B18" s="31" t="s">
        <v>136</v>
      </c>
      <c r="C18" s="77">
        <f>'2. Monthly Waste Data'!P18</f>
        <v>0</v>
      </c>
      <c r="D18" s="41"/>
      <c r="E18" s="41"/>
      <c r="F18" s="41"/>
      <c r="G18" s="41"/>
      <c r="H18" s="41"/>
      <c r="I18" s="53">
        <f t="shared" si="0"/>
        <v>0</v>
      </c>
      <c r="J18" s="6" t="s">
        <v>137</v>
      </c>
    </row>
    <row r="19" spans="1:10">
      <c r="A19" s="78"/>
      <c r="B19" s="75" t="s">
        <v>138</v>
      </c>
      <c r="C19" s="79">
        <f t="shared" ref="C19:H19" si="1">SUM(C5:C18)</f>
        <v>0</v>
      </c>
      <c r="D19" s="79">
        <f t="shared" si="1"/>
        <v>0</v>
      </c>
      <c r="E19" s="79">
        <f t="shared" si="1"/>
        <v>0</v>
      </c>
      <c r="F19" s="79">
        <f t="shared" si="1"/>
        <v>0</v>
      </c>
      <c r="G19" s="79">
        <f t="shared" si="1"/>
        <v>0</v>
      </c>
      <c r="H19" s="79">
        <f t="shared" si="1"/>
        <v>0</v>
      </c>
      <c r="I19" s="83">
        <f t="shared" si="0"/>
        <v>0</v>
      </c>
      <c r="J19" s="78"/>
    </row>
    <row r="21" ht="25.5" customHeight="1" spans="1:10">
      <c r="A21" s="12" t="s">
        <v>139</v>
      </c>
      <c r="B21" s="12"/>
      <c r="C21" s="12"/>
      <c r="D21" s="12"/>
      <c r="E21" s="12"/>
      <c r="F21" s="12"/>
      <c r="G21" s="12"/>
      <c r="H21" s="12"/>
      <c r="I21" s="12"/>
      <c r="J21" s="12"/>
    </row>
    <row r="22" ht="15" customHeight="1" spans="1:10">
      <c r="A22" s="13" t="s">
        <v>140</v>
      </c>
      <c r="B22" s="13"/>
      <c r="C22" s="13"/>
      <c r="D22" s="13"/>
      <c r="E22" s="13"/>
      <c r="F22" s="80">
        <f>C19</f>
        <v>0</v>
      </c>
      <c r="G22" s="80"/>
      <c r="H22" s="80"/>
      <c r="I22" s="15"/>
      <c r="J22" s="15"/>
    </row>
    <row r="23" ht="15" customHeight="1" spans="1:10">
      <c r="A23" s="13" t="s">
        <v>141</v>
      </c>
      <c r="B23" s="13"/>
      <c r="C23" s="13"/>
      <c r="D23" s="13"/>
      <c r="E23" s="13"/>
      <c r="F23" s="80">
        <f>D19</f>
        <v>0</v>
      </c>
      <c r="G23" s="80"/>
      <c r="H23" s="80"/>
      <c r="I23" s="15"/>
      <c r="J23" s="15"/>
    </row>
    <row r="24" ht="15" customHeight="1" spans="1:10">
      <c r="A24" s="13" t="s">
        <v>142</v>
      </c>
      <c r="B24" s="13"/>
      <c r="C24" s="13"/>
      <c r="D24" s="13"/>
      <c r="E24" s="13"/>
      <c r="F24" s="80">
        <f>E19</f>
        <v>0</v>
      </c>
      <c r="G24" s="80"/>
      <c r="H24" s="80"/>
      <c r="I24" s="15"/>
      <c r="J24" s="15"/>
    </row>
    <row r="25" ht="15" customHeight="1" spans="1:10">
      <c r="A25" s="13" t="s">
        <v>143</v>
      </c>
      <c r="B25" s="13"/>
      <c r="C25" s="13"/>
      <c r="D25" s="13"/>
      <c r="E25" s="13"/>
      <c r="F25" s="80">
        <f>G19</f>
        <v>0</v>
      </c>
      <c r="G25" s="80"/>
      <c r="H25" s="80"/>
      <c r="I25" s="15"/>
      <c r="J25" s="15"/>
    </row>
    <row r="26" ht="15" customHeight="1" spans="1:10">
      <c r="A26" s="13" t="s">
        <v>144</v>
      </c>
      <c r="B26" s="13"/>
      <c r="C26" s="13"/>
      <c r="D26" s="13"/>
      <c r="E26" s="13"/>
      <c r="F26" s="80">
        <f>H19</f>
        <v>0</v>
      </c>
      <c r="G26" s="80"/>
      <c r="H26" s="80"/>
      <c r="I26" s="15"/>
      <c r="J26" s="15"/>
    </row>
    <row r="27" ht="15" customHeight="1" spans="1:10">
      <c r="A27" s="13" t="s">
        <v>145</v>
      </c>
      <c r="B27" s="13"/>
      <c r="C27" s="13"/>
      <c r="D27" s="13"/>
      <c r="E27" s="13"/>
      <c r="F27" s="80">
        <f>F19</f>
        <v>0</v>
      </c>
      <c r="G27" s="80"/>
      <c r="H27" s="80"/>
      <c r="I27" s="15"/>
      <c r="J27" s="15"/>
    </row>
    <row r="28" ht="15" customHeight="1" spans="1:10">
      <c r="A28" s="13" t="s">
        <v>146</v>
      </c>
      <c r="B28" s="13"/>
      <c r="C28" s="13"/>
      <c r="D28" s="13"/>
      <c r="E28" s="13"/>
      <c r="F28" s="81">
        <f>I19</f>
        <v>0</v>
      </c>
      <c r="G28" s="81"/>
      <c r="H28" s="81"/>
      <c r="I28" s="15"/>
      <c r="J28" s="15"/>
    </row>
    <row r="29" ht="15" customHeight="1" spans="1:10">
      <c r="A29" s="13" t="s">
        <v>147</v>
      </c>
      <c r="B29" s="13"/>
      <c r="C29" s="13"/>
      <c r="D29" s="13"/>
      <c r="E29" s="13"/>
      <c r="F29" s="81">
        <f>IF(C19&gt;0,H19/C19*100,0)</f>
        <v>0</v>
      </c>
      <c r="G29" s="81"/>
      <c r="H29" s="81"/>
      <c r="I29" s="15"/>
      <c r="J29" s="15"/>
    </row>
    <row r="30" ht="15" customHeight="1" spans="1:10">
      <c r="A30" s="13" t="s">
        <v>148</v>
      </c>
      <c r="B30" s="13"/>
      <c r="C30" s="13"/>
      <c r="D30" s="13"/>
      <c r="E30" s="13"/>
      <c r="F30" s="82">
        <f>IF('2. Monthly Waste Data'!E3&gt;0,C19/'2. Monthly Waste Data'!E3,0)</f>
        <v>0</v>
      </c>
      <c r="G30" s="82"/>
      <c r="H30" s="82"/>
      <c r="I30" s="15"/>
      <c r="J30" s="15"/>
    </row>
    <row r="31" ht="15" customHeight="1" spans="1:10">
      <c r="A31" s="13" t="s">
        <v>149</v>
      </c>
      <c r="B31" s="13"/>
      <c r="C31" s="13"/>
      <c r="D31" s="13"/>
      <c r="E31" s="13"/>
      <c r="F31" s="29">
        <f>0</f>
        <v>0</v>
      </c>
      <c r="G31" s="29"/>
      <c r="H31" s="29"/>
      <c r="I31" s="15"/>
      <c r="J31" s="15"/>
    </row>
  </sheetData>
  <mergeCells count="23">
    <mergeCell ref="A1:J1"/>
    <mergeCell ref="A2:J2"/>
    <mergeCell ref="A21:J21"/>
    <mergeCell ref="A22:E22"/>
    <mergeCell ref="F22:H22"/>
    <mergeCell ref="A23:E23"/>
    <mergeCell ref="F23:H23"/>
    <mergeCell ref="A24:E24"/>
    <mergeCell ref="F24:H24"/>
    <mergeCell ref="A25:E25"/>
    <mergeCell ref="F25:H25"/>
    <mergeCell ref="A26:E26"/>
    <mergeCell ref="F26:H26"/>
    <mergeCell ref="A27:E27"/>
    <mergeCell ref="F27:H27"/>
    <mergeCell ref="A28:E28"/>
    <mergeCell ref="F28:H28"/>
    <mergeCell ref="A29:E29"/>
    <mergeCell ref="F29:H29"/>
    <mergeCell ref="A30:E30"/>
    <mergeCell ref="F30:H30"/>
    <mergeCell ref="A31:E31"/>
    <mergeCell ref="F31:H31"/>
  </mergeCells>
  <conditionalFormatting sqref="I5:I18">
    <cfRule type="cellIs" dxfId="0" priority="2" operator="greaterThanOrEqual">
      <formula>80</formula>
    </cfRule>
    <cfRule type="cellIs" dxfId="1" priority="3" operator="lessThan">
      <formula>50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5100"/>
  </sheetPr>
  <dimension ref="A1:J29"/>
  <sheetViews>
    <sheetView workbookViewId="0">
      <selection activeCell="A1" sqref="A1:J29"/>
    </sheetView>
  </sheetViews>
  <sheetFormatPr defaultColWidth="8.67592592592593" defaultRowHeight="14.4"/>
  <cols>
    <col min="1" max="1" width="8" customWidth="1"/>
    <col min="2" max="2" width="24" customWidth="1"/>
    <col min="3" max="9" width="18" customWidth="1"/>
    <col min="10" max="10" width="20" customWidth="1"/>
  </cols>
  <sheetData>
    <row r="1" ht="37.5" customHeight="1" spans="1:10">
      <c r="A1" s="61" t="s">
        <v>150</v>
      </c>
      <c r="B1" s="61"/>
      <c r="C1" s="61"/>
      <c r="D1" s="61"/>
      <c r="E1" s="61"/>
      <c r="F1" s="61"/>
      <c r="G1" s="61"/>
      <c r="H1" s="61"/>
      <c r="I1" s="61"/>
      <c r="J1" s="61"/>
    </row>
    <row r="2" ht="25.5" customHeight="1" spans="1:10">
      <c r="A2" s="62" t="s">
        <v>151</v>
      </c>
      <c r="B2" s="62"/>
      <c r="C2" s="62"/>
      <c r="D2" s="62"/>
      <c r="E2" s="62"/>
      <c r="F2" s="62"/>
      <c r="G2" s="62"/>
      <c r="H2" s="62"/>
      <c r="I2" s="62"/>
      <c r="J2" s="62"/>
    </row>
    <row r="4" ht="39.75" customHeight="1" spans="1:10">
      <c r="A4" s="63" t="s">
        <v>76</v>
      </c>
      <c r="B4" s="63" t="s">
        <v>152</v>
      </c>
      <c r="C4" s="63" t="s">
        <v>153</v>
      </c>
      <c r="D4" s="63" t="s">
        <v>154</v>
      </c>
      <c r="E4" s="63" t="s">
        <v>155</v>
      </c>
      <c r="F4" s="63" t="s">
        <v>156</v>
      </c>
      <c r="G4" s="63" t="s">
        <v>157</v>
      </c>
      <c r="H4" s="63" t="s">
        <v>158</v>
      </c>
      <c r="I4" s="63" t="s">
        <v>159</v>
      </c>
      <c r="J4" s="63" t="s">
        <v>160</v>
      </c>
    </row>
    <row r="5" spans="1:10">
      <c r="A5" s="8">
        <v>1</v>
      </c>
      <c r="B5" s="37" t="s">
        <v>161</v>
      </c>
      <c r="C5" s="38"/>
      <c r="D5" s="38"/>
      <c r="E5" s="38"/>
      <c r="F5" s="38"/>
      <c r="G5" s="38"/>
      <c r="H5" s="38"/>
      <c r="I5" s="55">
        <f t="shared" ref="I5:I24" si="0">SUM(C5:H5)</f>
        <v>0</v>
      </c>
      <c r="J5" s="70">
        <f t="shared" ref="J5:J24" si="1">IF(I$25&gt;0,I5/I$25*100,0)</f>
        <v>0</v>
      </c>
    </row>
    <row r="6" spans="1:10">
      <c r="A6" s="4">
        <v>2</v>
      </c>
      <c r="B6" s="31" t="s">
        <v>162</v>
      </c>
      <c r="C6" s="41"/>
      <c r="D6" s="41"/>
      <c r="E6" s="41"/>
      <c r="F6" s="41"/>
      <c r="G6" s="41"/>
      <c r="H6" s="41"/>
      <c r="I6" s="52">
        <f t="shared" si="0"/>
        <v>0</v>
      </c>
      <c r="J6" s="71">
        <f t="shared" si="1"/>
        <v>0</v>
      </c>
    </row>
    <row r="7" spans="1:10">
      <c r="A7" s="8">
        <v>3</v>
      </c>
      <c r="B7" s="37" t="s">
        <v>163</v>
      </c>
      <c r="C7" s="38"/>
      <c r="D7" s="38"/>
      <c r="E7" s="38"/>
      <c r="F7" s="38"/>
      <c r="G7" s="38"/>
      <c r="H7" s="38"/>
      <c r="I7" s="55">
        <f t="shared" si="0"/>
        <v>0</v>
      </c>
      <c r="J7" s="70">
        <f t="shared" si="1"/>
        <v>0</v>
      </c>
    </row>
    <row r="8" spans="1:10">
      <c r="A8" s="4">
        <v>4</v>
      </c>
      <c r="B8" s="31" t="s">
        <v>164</v>
      </c>
      <c r="C8" s="41"/>
      <c r="D8" s="41"/>
      <c r="E8" s="41"/>
      <c r="F8" s="41"/>
      <c r="G8" s="41"/>
      <c r="H8" s="41"/>
      <c r="I8" s="52">
        <f t="shared" si="0"/>
        <v>0</v>
      </c>
      <c r="J8" s="71">
        <f t="shared" si="1"/>
        <v>0</v>
      </c>
    </row>
    <row r="9" spans="1:10">
      <c r="A9" s="8">
        <v>5</v>
      </c>
      <c r="B9" s="37" t="s">
        <v>165</v>
      </c>
      <c r="C9" s="38"/>
      <c r="D9" s="38"/>
      <c r="E9" s="38"/>
      <c r="F9" s="38"/>
      <c r="G9" s="38"/>
      <c r="H9" s="38"/>
      <c r="I9" s="55">
        <f t="shared" si="0"/>
        <v>0</v>
      </c>
      <c r="J9" s="70">
        <f t="shared" si="1"/>
        <v>0</v>
      </c>
    </row>
    <row r="10" spans="1:10">
      <c r="A10" s="4">
        <v>6</v>
      </c>
      <c r="B10" s="31" t="s">
        <v>166</v>
      </c>
      <c r="C10" s="41"/>
      <c r="D10" s="41"/>
      <c r="E10" s="41"/>
      <c r="F10" s="41"/>
      <c r="G10" s="41"/>
      <c r="H10" s="41"/>
      <c r="I10" s="52">
        <f t="shared" si="0"/>
        <v>0</v>
      </c>
      <c r="J10" s="71">
        <f t="shared" si="1"/>
        <v>0</v>
      </c>
    </row>
    <row r="11" spans="1:10">
      <c r="A11" s="8">
        <v>7</v>
      </c>
      <c r="B11" s="37" t="s">
        <v>167</v>
      </c>
      <c r="C11" s="38"/>
      <c r="D11" s="38"/>
      <c r="E11" s="38"/>
      <c r="F11" s="38"/>
      <c r="G11" s="38"/>
      <c r="H11" s="38"/>
      <c r="I11" s="55">
        <f t="shared" si="0"/>
        <v>0</v>
      </c>
      <c r="J11" s="70">
        <f t="shared" si="1"/>
        <v>0</v>
      </c>
    </row>
    <row r="12" ht="26.4" spans="1:10">
      <c r="A12" s="4">
        <v>8</v>
      </c>
      <c r="B12" s="31" t="s">
        <v>168</v>
      </c>
      <c r="C12" s="41"/>
      <c r="D12" s="41"/>
      <c r="E12" s="41"/>
      <c r="F12" s="41"/>
      <c r="G12" s="41"/>
      <c r="H12" s="41"/>
      <c r="I12" s="52">
        <f t="shared" si="0"/>
        <v>0</v>
      </c>
      <c r="J12" s="71">
        <f t="shared" si="1"/>
        <v>0</v>
      </c>
    </row>
    <row r="13" spans="1:10">
      <c r="A13" s="8">
        <v>9</v>
      </c>
      <c r="B13" s="37" t="s">
        <v>169</v>
      </c>
      <c r="C13" s="38"/>
      <c r="D13" s="38"/>
      <c r="E13" s="38"/>
      <c r="F13" s="38"/>
      <c r="G13" s="38"/>
      <c r="H13" s="38"/>
      <c r="I13" s="55">
        <f t="shared" si="0"/>
        <v>0</v>
      </c>
      <c r="J13" s="70">
        <f t="shared" si="1"/>
        <v>0</v>
      </c>
    </row>
    <row r="14" spans="1:10">
      <c r="A14" s="4">
        <v>10</v>
      </c>
      <c r="B14" s="31" t="s">
        <v>170</v>
      </c>
      <c r="C14" s="41"/>
      <c r="D14" s="41"/>
      <c r="E14" s="41"/>
      <c r="F14" s="41"/>
      <c r="G14" s="41"/>
      <c r="H14" s="41"/>
      <c r="I14" s="52">
        <f t="shared" si="0"/>
        <v>0</v>
      </c>
      <c r="J14" s="71">
        <f t="shared" si="1"/>
        <v>0</v>
      </c>
    </row>
    <row r="15" spans="1:10">
      <c r="A15" s="8">
        <v>11</v>
      </c>
      <c r="B15" s="37" t="s">
        <v>171</v>
      </c>
      <c r="C15" s="38"/>
      <c r="D15" s="38"/>
      <c r="E15" s="38"/>
      <c r="F15" s="38"/>
      <c r="G15" s="38"/>
      <c r="H15" s="38"/>
      <c r="I15" s="55">
        <f t="shared" si="0"/>
        <v>0</v>
      </c>
      <c r="J15" s="70">
        <f t="shared" si="1"/>
        <v>0</v>
      </c>
    </row>
    <row r="16" spans="1:10">
      <c r="A16" s="4">
        <v>12</v>
      </c>
      <c r="B16" s="31" t="s">
        <v>172</v>
      </c>
      <c r="C16" s="41"/>
      <c r="D16" s="41"/>
      <c r="E16" s="41"/>
      <c r="F16" s="41"/>
      <c r="G16" s="41"/>
      <c r="H16" s="41"/>
      <c r="I16" s="52">
        <f t="shared" si="0"/>
        <v>0</v>
      </c>
      <c r="J16" s="71">
        <f t="shared" si="1"/>
        <v>0</v>
      </c>
    </row>
    <row r="17" spans="1:10">
      <c r="A17" s="8">
        <v>13</v>
      </c>
      <c r="B17" s="37" t="s">
        <v>173</v>
      </c>
      <c r="C17" s="38"/>
      <c r="D17" s="38"/>
      <c r="E17" s="38"/>
      <c r="F17" s="38"/>
      <c r="G17" s="38"/>
      <c r="H17" s="38"/>
      <c r="I17" s="55">
        <f t="shared" si="0"/>
        <v>0</v>
      </c>
      <c r="J17" s="70">
        <f t="shared" si="1"/>
        <v>0</v>
      </c>
    </row>
    <row r="18" spans="1:10">
      <c r="A18" s="4">
        <v>14</v>
      </c>
      <c r="B18" s="31" t="s">
        <v>174</v>
      </c>
      <c r="C18" s="41"/>
      <c r="D18" s="41"/>
      <c r="E18" s="41"/>
      <c r="F18" s="41"/>
      <c r="G18" s="41"/>
      <c r="H18" s="41"/>
      <c r="I18" s="52">
        <f t="shared" si="0"/>
        <v>0</v>
      </c>
      <c r="J18" s="71">
        <f t="shared" si="1"/>
        <v>0</v>
      </c>
    </row>
    <row r="19" spans="1:10">
      <c r="A19" s="8">
        <v>15</v>
      </c>
      <c r="B19" s="37" t="s">
        <v>175</v>
      </c>
      <c r="C19" s="38"/>
      <c r="D19" s="38"/>
      <c r="E19" s="38"/>
      <c r="F19" s="38"/>
      <c r="G19" s="38"/>
      <c r="H19" s="38"/>
      <c r="I19" s="55">
        <f t="shared" si="0"/>
        <v>0</v>
      </c>
      <c r="J19" s="70">
        <f t="shared" si="1"/>
        <v>0</v>
      </c>
    </row>
    <row r="20" spans="1:10">
      <c r="A20" s="4">
        <v>16</v>
      </c>
      <c r="B20" s="31" t="s">
        <v>176</v>
      </c>
      <c r="C20" s="41"/>
      <c r="D20" s="41"/>
      <c r="E20" s="41"/>
      <c r="F20" s="41"/>
      <c r="G20" s="41"/>
      <c r="H20" s="41"/>
      <c r="I20" s="52">
        <f t="shared" si="0"/>
        <v>0</v>
      </c>
      <c r="J20" s="71">
        <f t="shared" si="1"/>
        <v>0</v>
      </c>
    </row>
    <row r="21" spans="1:10">
      <c r="A21" s="8">
        <v>17</v>
      </c>
      <c r="B21" s="37" t="s">
        <v>177</v>
      </c>
      <c r="C21" s="38"/>
      <c r="D21" s="38"/>
      <c r="E21" s="38"/>
      <c r="F21" s="38"/>
      <c r="G21" s="38"/>
      <c r="H21" s="38"/>
      <c r="I21" s="55">
        <f t="shared" si="0"/>
        <v>0</v>
      </c>
      <c r="J21" s="70">
        <f t="shared" si="1"/>
        <v>0</v>
      </c>
    </row>
    <row r="22" spans="1:10">
      <c r="A22" s="4">
        <v>18</v>
      </c>
      <c r="B22" s="31" t="s">
        <v>178</v>
      </c>
      <c r="C22" s="41"/>
      <c r="D22" s="41"/>
      <c r="E22" s="41"/>
      <c r="F22" s="41"/>
      <c r="G22" s="41"/>
      <c r="H22" s="41"/>
      <c r="I22" s="52">
        <f t="shared" si="0"/>
        <v>0</v>
      </c>
      <c r="J22" s="71">
        <f t="shared" si="1"/>
        <v>0</v>
      </c>
    </row>
    <row r="23" ht="26.4" spans="1:10">
      <c r="A23" s="8">
        <v>19</v>
      </c>
      <c r="B23" s="37" t="s">
        <v>179</v>
      </c>
      <c r="C23" s="38"/>
      <c r="D23" s="38"/>
      <c r="E23" s="38"/>
      <c r="F23" s="38"/>
      <c r="G23" s="38"/>
      <c r="H23" s="38"/>
      <c r="I23" s="55">
        <f t="shared" si="0"/>
        <v>0</v>
      </c>
      <c r="J23" s="70">
        <f t="shared" si="1"/>
        <v>0</v>
      </c>
    </row>
    <row r="24" spans="1:10">
      <c r="A24" s="4">
        <v>20</v>
      </c>
      <c r="B24" s="31" t="s">
        <v>136</v>
      </c>
      <c r="C24" s="41"/>
      <c r="D24" s="41"/>
      <c r="E24" s="41"/>
      <c r="F24" s="41"/>
      <c r="G24" s="41"/>
      <c r="H24" s="41"/>
      <c r="I24" s="52">
        <f t="shared" si="0"/>
        <v>0</v>
      </c>
      <c r="J24" s="71">
        <f t="shared" si="1"/>
        <v>0</v>
      </c>
    </row>
    <row r="25" spans="1:10">
      <c r="A25" s="64"/>
      <c r="B25" s="63" t="s">
        <v>180</v>
      </c>
      <c r="C25" s="65">
        <f t="shared" ref="C25:I25" si="2">SUM(C5:C24)</f>
        <v>0</v>
      </c>
      <c r="D25" s="65">
        <f t="shared" si="2"/>
        <v>0</v>
      </c>
      <c r="E25" s="65">
        <f t="shared" si="2"/>
        <v>0</v>
      </c>
      <c r="F25" s="65">
        <f t="shared" si="2"/>
        <v>0</v>
      </c>
      <c r="G25" s="65">
        <f t="shared" si="2"/>
        <v>0</v>
      </c>
      <c r="H25" s="65">
        <f t="shared" si="2"/>
        <v>0</v>
      </c>
      <c r="I25" s="65">
        <f t="shared" si="2"/>
        <v>0</v>
      </c>
      <c r="J25" s="64"/>
    </row>
    <row r="26" spans="1:10">
      <c r="A26" s="66"/>
      <c r="B26" s="67" t="s">
        <v>181</v>
      </c>
      <c r="C26" s="68">
        <f t="shared" ref="C26:I26" si="3">C25*12</f>
        <v>0</v>
      </c>
      <c r="D26" s="68">
        <f t="shared" si="3"/>
        <v>0</v>
      </c>
      <c r="E26" s="68">
        <f t="shared" si="3"/>
        <v>0</v>
      </c>
      <c r="F26" s="68">
        <f t="shared" si="3"/>
        <v>0</v>
      </c>
      <c r="G26" s="68">
        <f t="shared" si="3"/>
        <v>0</v>
      </c>
      <c r="H26" s="68">
        <f t="shared" si="3"/>
        <v>0</v>
      </c>
      <c r="I26" s="68">
        <f t="shared" si="3"/>
        <v>0</v>
      </c>
      <c r="J26" s="66"/>
    </row>
    <row r="28" ht="25.5" customHeight="1" spans="1:10">
      <c r="A28" s="12" t="s">
        <v>182</v>
      </c>
      <c r="B28" s="12"/>
      <c r="C28" s="12"/>
      <c r="D28" s="12"/>
      <c r="E28" s="12"/>
      <c r="F28" s="12"/>
      <c r="G28" s="12"/>
      <c r="H28" s="12"/>
      <c r="I28" s="12"/>
      <c r="J28" s="12"/>
    </row>
    <row r="29" ht="15" customHeight="1" spans="1:10">
      <c r="A29" s="69" t="s">
        <v>183</v>
      </c>
      <c r="B29" s="69"/>
      <c r="C29" s="69"/>
      <c r="D29" s="69"/>
      <c r="E29" s="69"/>
      <c r="F29" s="22" t="str">
        <f>IFERROR(INDEX(B5:B24,MATCH(MAX(I5:I24),I5:I24,0)),"N/A")</f>
        <v>Hostel – A</v>
      </c>
      <c r="G29" s="22"/>
      <c r="H29" s="22"/>
      <c r="I29" s="72"/>
      <c r="J29" s="72"/>
    </row>
  </sheetData>
  <mergeCells count="5">
    <mergeCell ref="A1:J1"/>
    <mergeCell ref="A2:J2"/>
    <mergeCell ref="A28:J28"/>
    <mergeCell ref="A29:E29"/>
    <mergeCell ref="F29:H29"/>
  </mergeCells>
  <conditionalFormatting sqref="I5:I24">
    <cfRule type="dataBar" priority="2">
      <dataBar>
        <cfvo type="min"/>
        <cfvo type="max"/>
        <color rgb="FF33691E"/>
      </dataBar>
      <extLst>
        <ext xmlns:x14="http://schemas.microsoft.com/office/spreadsheetml/2009/9/main" uri="{B025F937-C7B1-47D3-B67F-A62EFF666E3E}">
          <x14:id>{eaedc23b-cedc-47dc-8b51-e1b6a3957cf4}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edc23b-cedc-47dc-8b51-e1b6a3957cf4}">
            <x14:dataBar minLength="10" maxLength="90" axisPosition="none">
              <x14:cfvo type="min"/>
              <x14:cfvo type="max"/>
              <x14:negativeFillColor rgb="FF33691E"/>
              <x14:axisColor indexed="65"/>
            </x14:dataBar>
          </x14:cfRule>
          <xm:sqref>I5:I24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D32"/>
  </sheetPr>
  <dimension ref="A1:J18"/>
  <sheetViews>
    <sheetView workbookViewId="0">
      <selection activeCell="A1" sqref="A1:J18"/>
    </sheetView>
  </sheetViews>
  <sheetFormatPr defaultColWidth="8.67592592592593" defaultRowHeight="14.4"/>
  <cols>
    <col min="1" max="1" width="8" customWidth="1"/>
    <col min="2" max="2" width="16" customWidth="1"/>
    <col min="3" max="7" width="18" customWidth="1"/>
    <col min="8" max="9" width="20" customWidth="1"/>
    <col min="10" max="10" width="22" customWidth="1"/>
  </cols>
  <sheetData>
    <row r="1" ht="37.5" customHeight="1" spans="1:10">
      <c r="A1" s="45" t="s">
        <v>184</v>
      </c>
      <c r="B1" s="45"/>
      <c r="C1" s="45"/>
      <c r="D1" s="45"/>
      <c r="E1" s="45"/>
      <c r="F1" s="45"/>
      <c r="G1" s="45"/>
      <c r="H1" s="45"/>
      <c r="I1" s="45"/>
      <c r="J1" s="45"/>
    </row>
    <row r="2" ht="25.5" customHeight="1" spans="1:10">
      <c r="A2" s="46" t="s">
        <v>185</v>
      </c>
      <c r="B2" s="46"/>
      <c r="C2" s="46"/>
      <c r="D2" s="46"/>
      <c r="E2" s="46"/>
      <c r="F2" s="46"/>
      <c r="G2" s="46"/>
      <c r="H2" s="46"/>
      <c r="I2" s="46"/>
      <c r="J2" s="46"/>
    </row>
    <row r="3" ht="15" customHeight="1" spans="1:10">
      <c r="A3" s="47" t="s">
        <v>186</v>
      </c>
      <c r="B3" s="47"/>
      <c r="C3" s="47"/>
      <c r="D3" s="47"/>
      <c r="E3" s="48">
        <v>5</v>
      </c>
      <c r="F3" s="49"/>
      <c r="G3" s="49"/>
      <c r="H3" s="49"/>
      <c r="I3" s="49"/>
      <c r="J3" s="49"/>
    </row>
    <row r="5" ht="39.75" customHeight="1" spans="1:10">
      <c r="A5" s="50" t="s">
        <v>76</v>
      </c>
      <c r="B5" s="50" t="s">
        <v>77</v>
      </c>
      <c r="C5" s="50" t="s">
        <v>187</v>
      </c>
      <c r="D5" s="50" t="s">
        <v>188</v>
      </c>
      <c r="E5" s="50" t="s">
        <v>189</v>
      </c>
      <c r="F5" s="50" t="s">
        <v>190</v>
      </c>
      <c r="G5" s="50" t="s">
        <v>191</v>
      </c>
      <c r="H5" s="50" t="s">
        <v>192</v>
      </c>
      <c r="I5" s="50" t="s">
        <v>193</v>
      </c>
      <c r="J5" s="50" t="s">
        <v>194</v>
      </c>
    </row>
    <row r="6" spans="1:10">
      <c r="A6" s="4">
        <v>1</v>
      </c>
      <c r="B6" s="51" t="s">
        <v>94</v>
      </c>
      <c r="C6" s="41"/>
      <c r="D6" s="41"/>
      <c r="E6" s="41"/>
      <c r="F6" s="52">
        <f t="shared" ref="F6:F17" si="0">SUM(C6:E6)</f>
        <v>0</v>
      </c>
      <c r="G6" s="41"/>
      <c r="H6" s="53">
        <f t="shared" ref="H6:H18" si="1">IF(F6&gt;0,G6/F6*100,0)</f>
        <v>0</v>
      </c>
      <c r="I6" s="41"/>
      <c r="J6" s="42">
        <f>I6*$E$3</f>
        <v>0</v>
      </c>
    </row>
    <row r="7" spans="1:10">
      <c r="A7" s="8">
        <v>2</v>
      </c>
      <c r="B7" s="54" t="s">
        <v>95</v>
      </c>
      <c r="C7" s="38"/>
      <c r="D7" s="38"/>
      <c r="E7" s="38"/>
      <c r="F7" s="55">
        <f t="shared" si="0"/>
        <v>0</v>
      </c>
      <c r="G7" s="38"/>
      <c r="H7" s="56">
        <f t="shared" si="1"/>
        <v>0</v>
      </c>
      <c r="I7" s="38"/>
      <c r="J7" s="40">
        <f>I7*$E$3</f>
        <v>0</v>
      </c>
    </row>
    <row r="8" spans="1:10">
      <c r="A8" s="4">
        <v>3</v>
      </c>
      <c r="B8" s="51" t="s">
        <v>96</v>
      </c>
      <c r="C8" s="41"/>
      <c r="D8" s="41"/>
      <c r="E8" s="41"/>
      <c r="F8" s="52">
        <f t="shared" si="0"/>
        <v>0</v>
      </c>
      <c r="G8" s="41"/>
      <c r="H8" s="53">
        <f t="shared" si="1"/>
        <v>0</v>
      </c>
      <c r="I8" s="41"/>
      <c r="J8" s="42">
        <f>I8*$E$3</f>
        <v>0</v>
      </c>
    </row>
    <row r="9" spans="1:10">
      <c r="A9" s="8">
        <v>4</v>
      </c>
      <c r="B9" s="54" t="s">
        <v>97</v>
      </c>
      <c r="C9" s="38"/>
      <c r="D9" s="38"/>
      <c r="E9" s="38"/>
      <c r="F9" s="55">
        <f t="shared" si="0"/>
        <v>0</v>
      </c>
      <c r="G9" s="38"/>
      <c r="H9" s="56">
        <f t="shared" si="1"/>
        <v>0</v>
      </c>
      <c r="I9" s="38"/>
      <c r="J9" s="40">
        <f>I9*$E$3</f>
        <v>0</v>
      </c>
    </row>
    <row r="10" spans="1:10">
      <c r="A10" s="4">
        <v>5</v>
      </c>
      <c r="B10" s="51" t="s">
        <v>98</v>
      </c>
      <c r="C10" s="41"/>
      <c r="D10" s="41"/>
      <c r="E10" s="41"/>
      <c r="F10" s="52">
        <f t="shared" si="0"/>
        <v>0</v>
      </c>
      <c r="G10" s="41"/>
      <c r="H10" s="53">
        <f t="shared" si="1"/>
        <v>0</v>
      </c>
      <c r="I10" s="41"/>
      <c r="J10" s="42">
        <f>I10*$E$3</f>
        <v>0</v>
      </c>
    </row>
    <row r="11" spans="1:10">
      <c r="A11" s="8">
        <v>6</v>
      </c>
      <c r="B11" s="54" t="s">
        <v>99</v>
      </c>
      <c r="C11" s="38"/>
      <c r="D11" s="38"/>
      <c r="E11" s="38"/>
      <c r="F11" s="55">
        <f t="shared" si="0"/>
        <v>0</v>
      </c>
      <c r="G11" s="38"/>
      <c r="H11" s="56">
        <f t="shared" si="1"/>
        <v>0</v>
      </c>
      <c r="I11" s="38"/>
      <c r="J11" s="40">
        <f>I11*$E$3</f>
        <v>0</v>
      </c>
    </row>
    <row r="12" spans="1:10">
      <c r="A12" s="4">
        <v>7</v>
      </c>
      <c r="B12" s="51" t="s">
        <v>100</v>
      </c>
      <c r="C12" s="41"/>
      <c r="D12" s="41"/>
      <c r="E12" s="41"/>
      <c r="F12" s="52">
        <f t="shared" si="0"/>
        <v>0</v>
      </c>
      <c r="G12" s="41"/>
      <c r="H12" s="53">
        <f t="shared" si="1"/>
        <v>0</v>
      </c>
      <c r="I12" s="41"/>
      <c r="J12" s="42">
        <f>I12*$E$3</f>
        <v>0</v>
      </c>
    </row>
    <row r="13" spans="1:10">
      <c r="A13" s="8">
        <v>8</v>
      </c>
      <c r="B13" s="54" t="s">
        <v>101</v>
      </c>
      <c r="C13" s="38"/>
      <c r="D13" s="38"/>
      <c r="E13" s="38"/>
      <c r="F13" s="55">
        <f t="shared" si="0"/>
        <v>0</v>
      </c>
      <c r="G13" s="38"/>
      <c r="H13" s="56">
        <f t="shared" si="1"/>
        <v>0</v>
      </c>
      <c r="I13" s="38"/>
      <c r="J13" s="40">
        <f>I13*$E$3</f>
        <v>0</v>
      </c>
    </row>
    <row r="14" spans="1:10">
      <c r="A14" s="4">
        <v>9</v>
      </c>
      <c r="B14" s="51" t="s">
        <v>102</v>
      </c>
      <c r="C14" s="41"/>
      <c r="D14" s="41"/>
      <c r="E14" s="41"/>
      <c r="F14" s="52">
        <f t="shared" si="0"/>
        <v>0</v>
      </c>
      <c r="G14" s="41"/>
      <c r="H14" s="53">
        <f t="shared" si="1"/>
        <v>0</v>
      </c>
      <c r="I14" s="41"/>
      <c r="J14" s="42">
        <f>I14*$E$3</f>
        <v>0</v>
      </c>
    </row>
    <row r="15" spans="1:10">
      <c r="A15" s="8">
        <v>10</v>
      </c>
      <c r="B15" s="54" t="s">
        <v>103</v>
      </c>
      <c r="C15" s="38"/>
      <c r="D15" s="38"/>
      <c r="E15" s="38"/>
      <c r="F15" s="55">
        <f t="shared" si="0"/>
        <v>0</v>
      </c>
      <c r="G15" s="38"/>
      <c r="H15" s="56">
        <f t="shared" si="1"/>
        <v>0</v>
      </c>
      <c r="I15" s="38"/>
      <c r="J15" s="40">
        <f>I15*$E$3</f>
        <v>0</v>
      </c>
    </row>
    <row r="16" spans="1:10">
      <c r="A16" s="4">
        <v>11</v>
      </c>
      <c r="B16" s="51" t="s">
        <v>104</v>
      </c>
      <c r="C16" s="41"/>
      <c r="D16" s="41"/>
      <c r="E16" s="41"/>
      <c r="F16" s="52">
        <f t="shared" si="0"/>
        <v>0</v>
      </c>
      <c r="G16" s="41"/>
      <c r="H16" s="53">
        <f t="shared" si="1"/>
        <v>0</v>
      </c>
      <c r="I16" s="41"/>
      <c r="J16" s="42">
        <f>I16*$E$3</f>
        <v>0</v>
      </c>
    </row>
    <row r="17" spans="1:10">
      <c r="A17" s="8">
        <v>12</v>
      </c>
      <c r="B17" s="54" t="s">
        <v>105</v>
      </c>
      <c r="C17" s="38"/>
      <c r="D17" s="38"/>
      <c r="E17" s="38"/>
      <c r="F17" s="55">
        <f t="shared" si="0"/>
        <v>0</v>
      </c>
      <c r="G17" s="38"/>
      <c r="H17" s="56">
        <f t="shared" si="1"/>
        <v>0</v>
      </c>
      <c r="I17" s="38"/>
      <c r="J17" s="40">
        <f>I17*$E$3</f>
        <v>0</v>
      </c>
    </row>
    <row r="18" spans="1:10">
      <c r="A18" s="57"/>
      <c r="B18" s="50" t="s">
        <v>106</v>
      </c>
      <c r="C18" s="58">
        <f>SUM(C6:C17)</f>
        <v>0</v>
      </c>
      <c r="D18" s="58">
        <f>SUM(D6:D17)</f>
        <v>0</v>
      </c>
      <c r="E18" s="58">
        <f>SUM(E6:E17)</f>
        <v>0</v>
      </c>
      <c r="F18" s="58">
        <f>SUM(F6:F17)</f>
        <v>0</v>
      </c>
      <c r="G18" s="58">
        <f>SUM(G6:G17)</f>
        <v>0</v>
      </c>
      <c r="H18" s="59">
        <f t="shared" si="1"/>
        <v>0</v>
      </c>
      <c r="I18" s="58">
        <f>SUM(I6:I17)</f>
        <v>0</v>
      </c>
      <c r="J18" s="60">
        <f>SUM(J6:J17)</f>
        <v>0</v>
      </c>
    </row>
  </sheetData>
  <mergeCells count="3">
    <mergeCell ref="A1:J1"/>
    <mergeCell ref="A2:J2"/>
    <mergeCell ref="A3:D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57F17"/>
  </sheetPr>
  <dimension ref="A1:H25"/>
  <sheetViews>
    <sheetView tabSelected="1" workbookViewId="0">
      <selection activeCell="A1" sqref="A1:H25"/>
    </sheetView>
  </sheetViews>
  <sheetFormatPr defaultColWidth="8.67592592592593" defaultRowHeight="14.4" outlineLevelCol="7"/>
  <cols>
    <col min="1" max="1" width="8" customWidth="1"/>
    <col min="2" max="2" width="20" customWidth="1"/>
    <col min="3" max="3" width="22" customWidth="1"/>
    <col min="4" max="6" width="18" customWidth="1"/>
    <col min="7" max="7" width="20" customWidth="1"/>
    <col min="8" max="8" width="22" customWidth="1"/>
  </cols>
  <sheetData>
    <row r="1" ht="37.5" customHeight="1" spans="1:8">
      <c r="A1" s="34" t="s">
        <v>195</v>
      </c>
      <c r="B1" s="34"/>
      <c r="C1" s="34"/>
      <c r="D1" s="34"/>
      <c r="E1" s="34"/>
      <c r="F1" s="34"/>
      <c r="G1" s="34"/>
      <c r="H1" s="34"/>
    </row>
    <row r="2" ht="25.5" customHeight="1" spans="1:8">
      <c r="A2" s="35" t="s">
        <v>196</v>
      </c>
      <c r="B2" s="35"/>
      <c r="C2" s="35"/>
      <c r="D2" s="35"/>
      <c r="E2" s="35"/>
      <c r="F2" s="35"/>
      <c r="G2" s="35"/>
      <c r="H2" s="35"/>
    </row>
    <row r="4" ht="39.75" customHeight="1" spans="1:8">
      <c r="A4" s="36" t="s">
        <v>76</v>
      </c>
      <c r="B4" s="36" t="s">
        <v>197</v>
      </c>
      <c r="C4" s="36" t="s">
        <v>198</v>
      </c>
      <c r="D4" s="36" t="s">
        <v>199</v>
      </c>
      <c r="E4" s="36" t="s">
        <v>200</v>
      </c>
      <c r="F4" s="36" t="s">
        <v>201</v>
      </c>
      <c r="G4" s="36" t="s">
        <v>202</v>
      </c>
      <c r="H4" s="36" t="s">
        <v>203</v>
      </c>
    </row>
    <row r="5" spans="1:8">
      <c r="A5" s="8">
        <v>1</v>
      </c>
      <c r="B5" s="37" t="s">
        <v>204</v>
      </c>
      <c r="C5" s="38"/>
      <c r="D5" s="39"/>
      <c r="E5" s="40">
        <f t="shared" ref="E5:E24" si="0">C5*D5</f>
        <v>0</v>
      </c>
      <c r="F5" s="11"/>
      <c r="G5" s="11"/>
      <c r="H5" s="11"/>
    </row>
    <row r="6" spans="1:8">
      <c r="A6" s="4">
        <v>2</v>
      </c>
      <c r="B6" s="31" t="s">
        <v>205</v>
      </c>
      <c r="C6" s="41"/>
      <c r="D6" s="33"/>
      <c r="E6" s="42">
        <f t="shared" si="0"/>
        <v>0</v>
      </c>
      <c r="F6" s="7"/>
      <c r="G6" s="7"/>
      <c r="H6" s="7"/>
    </row>
    <row r="7" ht="26.4" spans="1:8">
      <c r="A7" s="8">
        <v>3</v>
      </c>
      <c r="B7" s="37" t="s">
        <v>206</v>
      </c>
      <c r="C7" s="38"/>
      <c r="D7" s="39"/>
      <c r="E7" s="40">
        <f t="shared" si="0"/>
        <v>0</v>
      </c>
      <c r="F7" s="11"/>
      <c r="G7" s="11"/>
      <c r="H7" s="11"/>
    </row>
    <row r="8" ht="26.4" spans="1:8">
      <c r="A8" s="4">
        <v>4</v>
      </c>
      <c r="B8" s="31" t="s">
        <v>207</v>
      </c>
      <c r="C8" s="41"/>
      <c r="D8" s="33"/>
      <c r="E8" s="42">
        <f t="shared" si="0"/>
        <v>0</v>
      </c>
      <c r="F8" s="7"/>
      <c r="G8" s="7"/>
      <c r="H8" s="7"/>
    </row>
    <row r="9" ht="26.4" spans="1:8">
      <c r="A9" s="8">
        <v>5</v>
      </c>
      <c r="B9" s="37" t="s">
        <v>208</v>
      </c>
      <c r="C9" s="38"/>
      <c r="D9" s="39"/>
      <c r="E9" s="40">
        <f t="shared" si="0"/>
        <v>0</v>
      </c>
      <c r="F9" s="11"/>
      <c r="G9" s="11"/>
      <c r="H9" s="11"/>
    </row>
    <row r="10" ht="26.4" spans="1:8">
      <c r="A10" s="4">
        <v>6</v>
      </c>
      <c r="B10" s="31" t="s">
        <v>209</v>
      </c>
      <c r="C10" s="41"/>
      <c r="D10" s="33"/>
      <c r="E10" s="42">
        <f t="shared" si="0"/>
        <v>0</v>
      </c>
      <c r="F10" s="7"/>
      <c r="G10" s="7"/>
      <c r="H10" s="7"/>
    </row>
    <row r="11" ht="26.4" spans="1:8">
      <c r="A11" s="8">
        <v>7</v>
      </c>
      <c r="B11" s="37" t="s">
        <v>210</v>
      </c>
      <c r="C11" s="38"/>
      <c r="D11" s="39"/>
      <c r="E11" s="40">
        <f t="shared" si="0"/>
        <v>0</v>
      </c>
      <c r="F11" s="11"/>
      <c r="G11" s="11"/>
      <c r="H11" s="11"/>
    </row>
    <row r="12" ht="26.4" spans="1:8">
      <c r="A12" s="4">
        <v>8</v>
      </c>
      <c r="B12" s="31" t="s">
        <v>211</v>
      </c>
      <c r="C12" s="41"/>
      <c r="D12" s="33"/>
      <c r="E12" s="42">
        <f t="shared" si="0"/>
        <v>0</v>
      </c>
      <c r="F12" s="7"/>
      <c r="G12" s="7"/>
      <c r="H12" s="7"/>
    </row>
    <row r="13" ht="26.4" spans="1:8">
      <c r="A13" s="8">
        <v>9</v>
      </c>
      <c r="B13" s="37" t="s">
        <v>212</v>
      </c>
      <c r="C13" s="38"/>
      <c r="D13" s="39"/>
      <c r="E13" s="40">
        <f t="shared" si="0"/>
        <v>0</v>
      </c>
      <c r="F13" s="11"/>
      <c r="G13" s="11"/>
      <c r="H13" s="11"/>
    </row>
    <row r="14" spans="1:8">
      <c r="A14" s="4">
        <v>10</v>
      </c>
      <c r="B14" s="31" t="s">
        <v>213</v>
      </c>
      <c r="C14" s="41"/>
      <c r="D14" s="33"/>
      <c r="E14" s="42">
        <f t="shared" si="0"/>
        <v>0</v>
      </c>
      <c r="F14" s="7"/>
      <c r="G14" s="7"/>
      <c r="H14" s="7"/>
    </row>
    <row r="15" spans="1:8">
      <c r="A15" s="8">
        <v>11</v>
      </c>
      <c r="B15" s="11"/>
      <c r="C15" s="11"/>
      <c r="D15" s="11"/>
      <c r="E15" s="39">
        <f t="shared" si="0"/>
        <v>0</v>
      </c>
      <c r="F15" s="11"/>
      <c r="G15" s="11"/>
      <c r="H15" s="11"/>
    </row>
    <row r="16" spans="1:8">
      <c r="A16" s="4">
        <v>12</v>
      </c>
      <c r="B16" s="7"/>
      <c r="C16" s="7"/>
      <c r="D16" s="7"/>
      <c r="E16" s="33">
        <f t="shared" si="0"/>
        <v>0</v>
      </c>
      <c r="F16" s="7"/>
      <c r="G16" s="7"/>
      <c r="H16" s="7"/>
    </row>
    <row r="17" spans="1:8">
      <c r="A17" s="8">
        <v>13</v>
      </c>
      <c r="B17" s="11"/>
      <c r="C17" s="11"/>
      <c r="D17" s="11"/>
      <c r="E17" s="39">
        <f t="shared" si="0"/>
        <v>0</v>
      </c>
      <c r="F17" s="11"/>
      <c r="G17" s="11"/>
      <c r="H17" s="11"/>
    </row>
    <row r="18" spans="1:8">
      <c r="A18" s="4">
        <v>14</v>
      </c>
      <c r="B18" s="7"/>
      <c r="C18" s="7"/>
      <c r="D18" s="7"/>
      <c r="E18" s="33">
        <f t="shared" si="0"/>
        <v>0</v>
      </c>
      <c r="F18" s="7"/>
      <c r="G18" s="7"/>
      <c r="H18" s="7"/>
    </row>
    <row r="19" spans="1:8">
      <c r="A19" s="8">
        <v>15</v>
      </c>
      <c r="B19" s="11"/>
      <c r="C19" s="11"/>
      <c r="D19" s="11"/>
      <c r="E19" s="39">
        <f t="shared" si="0"/>
        <v>0</v>
      </c>
      <c r="F19" s="11"/>
      <c r="G19" s="11"/>
      <c r="H19" s="11"/>
    </row>
    <row r="20" spans="1:8">
      <c r="A20" s="4">
        <v>16</v>
      </c>
      <c r="B20" s="7"/>
      <c r="C20" s="7"/>
      <c r="D20" s="7"/>
      <c r="E20" s="33">
        <f t="shared" si="0"/>
        <v>0</v>
      </c>
      <c r="F20" s="7"/>
      <c r="G20" s="7"/>
      <c r="H20" s="7"/>
    </row>
    <row r="21" spans="1:8">
      <c r="A21" s="8">
        <v>17</v>
      </c>
      <c r="B21" s="11"/>
      <c r="C21" s="11"/>
      <c r="D21" s="11"/>
      <c r="E21" s="39">
        <f t="shared" si="0"/>
        <v>0</v>
      </c>
      <c r="F21" s="11"/>
      <c r="G21" s="11"/>
      <c r="H21" s="11"/>
    </row>
    <row r="22" spans="1:8">
      <c r="A22" s="4">
        <v>18</v>
      </c>
      <c r="B22" s="7"/>
      <c r="C22" s="7"/>
      <c r="D22" s="7"/>
      <c r="E22" s="33">
        <f t="shared" si="0"/>
        <v>0</v>
      </c>
      <c r="F22" s="7"/>
      <c r="G22" s="7"/>
      <c r="H22" s="7"/>
    </row>
    <row r="23" spans="1:8">
      <c r="A23" s="8">
        <v>19</v>
      </c>
      <c r="B23" s="11"/>
      <c r="C23" s="11"/>
      <c r="D23" s="11"/>
      <c r="E23" s="39">
        <f t="shared" si="0"/>
        <v>0</v>
      </c>
      <c r="F23" s="11"/>
      <c r="G23" s="11"/>
      <c r="H23" s="11"/>
    </row>
    <row r="24" spans="1:8">
      <c r="A24" s="4">
        <v>20</v>
      </c>
      <c r="B24" s="7"/>
      <c r="C24" s="7"/>
      <c r="D24" s="7"/>
      <c r="E24" s="33">
        <f t="shared" si="0"/>
        <v>0</v>
      </c>
      <c r="F24" s="7"/>
      <c r="G24" s="7"/>
      <c r="H24" s="7"/>
    </row>
    <row r="25" ht="26.4" spans="1:8">
      <c r="A25" s="43"/>
      <c r="B25" s="36" t="s">
        <v>214</v>
      </c>
      <c r="C25" s="43"/>
      <c r="D25" s="43"/>
      <c r="E25" s="44">
        <f>SUM(E5:E24)</f>
        <v>0</v>
      </c>
      <c r="F25" s="43"/>
      <c r="G25" s="43"/>
      <c r="H25" s="43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83593"/>
  </sheetPr>
  <dimension ref="A1:G27"/>
  <sheetViews>
    <sheetView workbookViewId="0">
      <selection activeCell="A1" sqref="A1:G1"/>
    </sheetView>
  </sheetViews>
  <sheetFormatPr defaultColWidth="8.67592592592593" defaultRowHeight="14.4" outlineLevelCol="6"/>
  <cols>
    <col min="1" max="1" width="6" customWidth="1"/>
    <col min="2" max="2" width="26" customWidth="1"/>
    <col min="3" max="3" width="36" customWidth="1"/>
    <col min="4" max="4" width="20" customWidth="1"/>
    <col min="5" max="6" width="18" customWidth="1"/>
    <col min="7" max="7" width="14" customWidth="1"/>
  </cols>
  <sheetData>
    <row r="1" ht="37.5" customHeight="1" spans="1:7">
      <c r="A1" s="16" t="s">
        <v>215</v>
      </c>
      <c r="B1" s="16"/>
      <c r="C1" s="16"/>
      <c r="D1" s="16"/>
      <c r="E1" s="16"/>
      <c r="F1" s="16"/>
      <c r="G1" s="16"/>
    </row>
    <row r="2" ht="25.5" customHeight="1" spans="1:7">
      <c r="A2" s="17" t="s">
        <v>216</v>
      </c>
      <c r="B2" s="17"/>
      <c r="C2" s="17"/>
      <c r="D2" s="17"/>
      <c r="E2" s="17"/>
      <c r="F2" s="17"/>
      <c r="G2" s="17"/>
    </row>
    <row r="3" ht="39.75" customHeight="1" spans="1:7">
      <c r="A3" s="18" t="s">
        <v>2</v>
      </c>
      <c r="B3" s="18" t="s">
        <v>217</v>
      </c>
      <c r="C3" s="18" t="s">
        <v>218</v>
      </c>
      <c r="D3" s="18" t="s">
        <v>219</v>
      </c>
      <c r="E3" s="18" t="s">
        <v>220</v>
      </c>
      <c r="F3" s="18" t="s">
        <v>221</v>
      </c>
      <c r="G3" s="18" t="s">
        <v>222</v>
      </c>
    </row>
    <row r="4" ht="39.75" customHeight="1" spans="1:7">
      <c r="A4" s="19">
        <v>1</v>
      </c>
      <c r="B4" s="20" t="s">
        <v>223</v>
      </c>
      <c r="C4" s="21" t="s">
        <v>224</v>
      </c>
      <c r="D4" s="22" t="s">
        <v>225</v>
      </c>
      <c r="E4" s="22" t="s">
        <v>226</v>
      </c>
      <c r="F4" s="23"/>
      <c r="G4" s="24"/>
    </row>
    <row r="5" ht="39.75" customHeight="1" spans="1:7">
      <c r="A5" s="25">
        <v>2</v>
      </c>
      <c r="B5" s="26" t="s">
        <v>227</v>
      </c>
      <c r="C5" s="27" t="s">
        <v>228</v>
      </c>
      <c r="D5" s="28" t="s">
        <v>225</v>
      </c>
      <c r="E5" s="28" t="s">
        <v>229</v>
      </c>
      <c r="F5" s="29"/>
      <c r="G5" s="30"/>
    </row>
    <row r="6" ht="39.75" customHeight="1" spans="1:7">
      <c r="A6" s="19">
        <v>3</v>
      </c>
      <c r="B6" s="20" t="s">
        <v>230</v>
      </c>
      <c r="C6" s="21" t="s">
        <v>231</v>
      </c>
      <c r="D6" s="22" t="s">
        <v>225</v>
      </c>
      <c r="E6" s="22" t="s">
        <v>226</v>
      </c>
      <c r="F6" s="23"/>
      <c r="G6" s="24"/>
    </row>
    <row r="7" ht="39.75" customHeight="1" spans="1:7">
      <c r="A7" s="19">
        <v>4</v>
      </c>
      <c r="B7" s="20" t="s">
        <v>232</v>
      </c>
      <c r="C7" s="21" t="s">
        <v>233</v>
      </c>
      <c r="D7" s="22" t="s">
        <v>225</v>
      </c>
      <c r="E7" s="22" t="s">
        <v>226</v>
      </c>
      <c r="F7" s="23"/>
      <c r="G7" s="24"/>
    </row>
    <row r="8" ht="39.75" customHeight="1" spans="1:7">
      <c r="A8" s="25">
        <v>5</v>
      </c>
      <c r="B8" s="26" t="s">
        <v>234</v>
      </c>
      <c r="C8" s="27" t="s">
        <v>235</v>
      </c>
      <c r="D8" s="28" t="s">
        <v>225</v>
      </c>
      <c r="E8" s="28" t="s">
        <v>229</v>
      </c>
      <c r="F8" s="29"/>
      <c r="G8" s="30"/>
    </row>
    <row r="9" ht="39.75" customHeight="1" spans="1:7">
      <c r="A9" s="4">
        <v>6</v>
      </c>
      <c r="B9" s="31" t="s">
        <v>236</v>
      </c>
      <c r="C9" s="6" t="s">
        <v>237</v>
      </c>
      <c r="D9" s="32" t="s">
        <v>238</v>
      </c>
      <c r="E9" s="32" t="s">
        <v>239</v>
      </c>
      <c r="F9" s="33"/>
      <c r="G9" s="7"/>
    </row>
    <row r="10" ht="39.75" customHeight="1" spans="1:7">
      <c r="A10" s="4">
        <v>7</v>
      </c>
      <c r="B10" s="31" t="s">
        <v>240</v>
      </c>
      <c r="C10" s="6" t="s">
        <v>241</v>
      </c>
      <c r="D10" s="32" t="s">
        <v>238</v>
      </c>
      <c r="E10" s="32" t="s">
        <v>239</v>
      </c>
      <c r="F10" s="33"/>
      <c r="G10" s="7"/>
    </row>
    <row r="11" ht="39.75" customHeight="1" spans="1:7">
      <c r="A11" s="19">
        <v>8</v>
      </c>
      <c r="B11" s="20" t="s">
        <v>242</v>
      </c>
      <c r="C11" s="21" t="s">
        <v>243</v>
      </c>
      <c r="D11" s="22" t="s">
        <v>238</v>
      </c>
      <c r="E11" s="22" t="s">
        <v>226</v>
      </c>
      <c r="F11" s="23"/>
      <c r="G11" s="24"/>
    </row>
    <row r="12" ht="39.75" customHeight="1" spans="1:7">
      <c r="A12" s="4">
        <v>9</v>
      </c>
      <c r="B12" s="31" t="s">
        <v>244</v>
      </c>
      <c r="C12" s="6" t="s">
        <v>245</v>
      </c>
      <c r="D12" s="32" t="s">
        <v>238</v>
      </c>
      <c r="E12" s="32" t="s">
        <v>239</v>
      </c>
      <c r="F12" s="33"/>
      <c r="G12" s="7"/>
    </row>
    <row r="13" ht="39.75" customHeight="1" spans="1:7">
      <c r="A13" s="4">
        <v>10</v>
      </c>
      <c r="B13" s="31" t="s">
        <v>246</v>
      </c>
      <c r="C13" s="6" t="s">
        <v>247</v>
      </c>
      <c r="D13" s="32" t="s">
        <v>238</v>
      </c>
      <c r="E13" s="32" t="s">
        <v>239</v>
      </c>
      <c r="F13" s="33"/>
      <c r="G13" s="7"/>
    </row>
    <row r="14" ht="39.75" customHeight="1" spans="1:7">
      <c r="A14" s="4">
        <v>11</v>
      </c>
      <c r="B14" s="31" t="s">
        <v>248</v>
      </c>
      <c r="C14" s="6" t="s">
        <v>249</v>
      </c>
      <c r="D14" s="32" t="s">
        <v>238</v>
      </c>
      <c r="E14" s="32" t="s">
        <v>239</v>
      </c>
      <c r="F14" s="33"/>
      <c r="G14" s="7"/>
    </row>
    <row r="15" ht="39.75" customHeight="1" spans="1:7">
      <c r="A15" s="4">
        <v>12</v>
      </c>
      <c r="B15" s="31" t="s">
        <v>250</v>
      </c>
      <c r="C15" s="6" t="s">
        <v>251</v>
      </c>
      <c r="D15" s="32" t="s">
        <v>252</v>
      </c>
      <c r="E15" s="32" t="s">
        <v>239</v>
      </c>
      <c r="F15" s="33"/>
      <c r="G15" s="7"/>
    </row>
    <row r="16" ht="39.75" customHeight="1" spans="1:7">
      <c r="A16" s="4">
        <v>13</v>
      </c>
      <c r="B16" s="31" t="s">
        <v>253</v>
      </c>
      <c r="C16" s="6" t="s">
        <v>254</v>
      </c>
      <c r="D16" s="32" t="s">
        <v>252</v>
      </c>
      <c r="E16" s="32" t="s">
        <v>239</v>
      </c>
      <c r="F16" s="33"/>
      <c r="G16" s="7"/>
    </row>
    <row r="17" ht="39.75" customHeight="1" spans="1:7">
      <c r="A17" s="4">
        <v>14</v>
      </c>
      <c r="B17" s="31" t="s">
        <v>255</v>
      </c>
      <c r="C17" s="6" t="s">
        <v>256</v>
      </c>
      <c r="D17" s="32" t="s">
        <v>252</v>
      </c>
      <c r="E17" s="32" t="s">
        <v>239</v>
      </c>
      <c r="F17" s="33"/>
      <c r="G17" s="7"/>
    </row>
    <row r="18" ht="39.75" customHeight="1" spans="1:7">
      <c r="A18" s="4">
        <v>15</v>
      </c>
      <c r="B18" s="31" t="s">
        <v>257</v>
      </c>
      <c r="C18" s="6" t="s">
        <v>258</v>
      </c>
      <c r="D18" s="32" t="s">
        <v>252</v>
      </c>
      <c r="E18" s="32" t="s">
        <v>239</v>
      </c>
      <c r="F18" s="33"/>
      <c r="G18" s="7"/>
    </row>
    <row r="19" ht="39.75" customHeight="1" spans="1:7">
      <c r="A19" s="4">
        <v>16</v>
      </c>
      <c r="B19" s="31" t="s">
        <v>259</v>
      </c>
      <c r="C19" s="6" t="s">
        <v>260</v>
      </c>
      <c r="D19" s="32" t="s">
        <v>252</v>
      </c>
      <c r="E19" s="32" t="s">
        <v>239</v>
      </c>
      <c r="F19" s="33"/>
      <c r="G19" s="7"/>
    </row>
    <row r="21" ht="25.5" customHeight="1" spans="1:7">
      <c r="A21" s="12" t="s">
        <v>261</v>
      </c>
      <c r="B21" s="12"/>
      <c r="C21" s="12"/>
      <c r="D21" s="12"/>
      <c r="E21" s="12"/>
      <c r="F21" s="12"/>
      <c r="G21" s="12"/>
    </row>
    <row r="22" ht="15" customHeight="1" spans="1:7">
      <c r="A22" s="13" t="s">
        <v>262</v>
      </c>
      <c r="B22" s="13"/>
      <c r="C22" s="13"/>
      <c r="D22" s="14">
        <f>16</f>
        <v>16</v>
      </c>
      <c r="E22" s="14"/>
      <c r="F22" s="14"/>
      <c r="G22" s="15"/>
    </row>
    <row r="23" ht="15" customHeight="1" spans="1:7">
      <c r="A23" s="13" t="s">
        <v>263</v>
      </c>
      <c r="B23" s="13"/>
      <c r="C23" s="13"/>
      <c r="D23" s="14">
        <f>COUNTIF(E4:E19,"Done")</f>
        <v>2</v>
      </c>
      <c r="E23" s="14"/>
      <c r="F23" s="14"/>
      <c r="G23" s="15"/>
    </row>
    <row r="24" ht="15" customHeight="1" spans="1:7">
      <c r="A24" s="13" t="s">
        <v>264</v>
      </c>
      <c r="B24" s="13"/>
      <c r="C24" s="13"/>
      <c r="D24" s="14">
        <f>COUNTIF(E4:E19,"IP")</f>
        <v>4</v>
      </c>
      <c r="E24" s="14"/>
      <c r="F24" s="14"/>
      <c r="G24" s="15"/>
    </row>
    <row r="25" ht="15" customHeight="1" spans="1:7">
      <c r="A25" s="13" t="s">
        <v>239</v>
      </c>
      <c r="B25" s="13"/>
      <c r="C25" s="13"/>
      <c r="D25" s="14">
        <f>COUNTIF(E4:E19,"Planned")</f>
        <v>10</v>
      </c>
      <c r="E25" s="14"/>
      <c r="F25" s="14"/>
      <c r="G25" s="15"/>
    </row>
    <row r="26" ht="15" customHeight="1" spans="1:7">
      <c r="A26" s="13" t="s">
        <v>265</v>
      </c>
      <c r="B26" s="13"/>
      <c r="C26" s="13"/>
      <c r="D26" s="14">
        <f>SUM(F4:F19)</f>
        <v>0</v>
      </c>
      <c r="E26" s="14"/>
      <c r="F26" s="14"/>
      <c r="G26" s="15"/>
    </row>
    <row r="27" ht="15" customHeight="1" spans="1:7">
      <c r="A27" s="13" t="s">
        <v>266</v>
      </c>
      <c r="B27" s="13"/>
      <c r="C27" s="13"/>
      <c r="D27" s="14">
        <f>IFERROR(COUNTIF(E4:E19,"Done")/16*100,0)</f>
        <v>12.5</v>
      </c>
      <c r="E27" s="14"/>
      <c r="F27" s="14"/>
      <c r="G27" s="15"/>
    </row>
  </sheetData>
  <mergeCells count="15">
    <mergeCell ref="A1:G1"/>
    <mergeCell ref="A2:G2"/>
    <mergeCell ref="A21:G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55A64"/>
  </sheetPr>
  <dimension ref="A1:F27"/>
  <sheetViews>
    <sheetView workbookViewId="0">
      <selection activeCell="A1" sqref="A1:F1"/>
    </sheetView>
  </sheetViews>
  <sheetFormatPr defaultColWidth="8.67592592592593" defaultRowHeight="14.4" outlineLevelCol="5"/>
  <cols>
    <col min="1" max="1" width="6" customWidth="1"/>
    <col min="2" max="2" width="32" customWidth="1"/>
    <col min="3" max="3" width="44" customWidth="1"/>
    <col min="4" max="5" width="16" customWidth="1"/>
    <col min="6" max="6" width="22" customWidth="1"/>
  </cols>
  <sheetData>
    <row r="1" ht="37.5" customHeight="1" spans="1:6">
      <c r="A1" s="1" t="s">
        <v>267</v>
      </c>
      <c r="B1" s="1"/>
      <c r="C1" s="1"/>
      <c r="D1" s="1"/>
      <c r="E1" s="1"/>
      <c r="F1" s="1"/>
    </row>
    <row r="2" ht="25.5" customHeight="1" spans="1:6">
      <c r="A2" s="2" t="s">
        <v>268</v>
      </c>
      <c r="B2" s="2"/>
      <c r="C2" s="2"/>
      <c r="D2" s="2"/>
      <c r="E2" s="2"/>
      <c r="F2" s="2"/>
    </row>
    <row r="3" ht="39.75" customHeight="1" spans="1:6">
      <c r="A3" s="3" t="s">
        <v>2</v>
      </c>
      <c r="B3" s="3" t="s">
        <v>269</v>
      </c>
      <c r="C3" s="3" t="s">
        <v>270</v>
      </c>
      <c r="D3" s="3" t="s">
        <v>271</v>
      </c>
      <c r="E3" s="3" t="s">
        <v>272</v>
      </c>
      <c r="F3" s="3" t="s">
        <v>273</v>
      </c>
    </row>
    <row r="4" ht="31.5" customHeight="1" spans="1:6">
      <c r="A4" s="4">
        <v>1</v>
      </c>
      <c r="B4" s="5" t="s">
        <v>274</v>
      </c>
      <c r="C4" s="6" t="s">
        <v>275</v>
      </c>
      <c r="D4" s="7"/>
      <c r="E4" s="7"/>
      <c r="F4" s="7"/>
    </row>
    <row r="5" ht="31.5" customHeight="1" spans="1:6">
      <c r="A5" s="8">
        <v>2</v>
      </c>
      <c r="B5" s="9" t="s">
        <v>276</v>
      </c>
      <c r="C5" s="10" t="s">
        <v>277</v>
      </c>
      <c r="D5" s="11"/>
      <c r="E5" s="11"/>
      <c r="F5" s="11"/>
    </row>
    <row r="6" ht="31.5" customHeight="1" spans="1:6">
      <c r="A6" s="4">
        <v>3</v>
      </c>
      <c r="B6" s="5" t="s">
        <v>278</v>
      </c>
      <c r="C6" s="6" t="s">
        <v>279</v>
      </c>
      <c r="D6" s="7"/>
      <c r="E6" s="7"/>
      <c r="F6" s="7"/>
    </row>
    <row r="7" ht="31.5" customHeight="1" spans="1:6">
      <c r="A7" s="8">
        <v>4</v>
      </c>
      <c r="B7" s="9" t="s">
        <v>280</v>
      </c>
      <c r="C7" s="10" t="s">
        <v>281</v>
      </c>
      <c r="D7" s="11"/>
      <c r="E7" s="11"/>
      <c r="F7" s="11"/>
    </row>
    <row r="8" ht="31.5" customHeight="1" spans="1:6">
      <c r="A8" s="4">
        <v>5</v>
      </c>
      <c r="B8" s="5" t="s">
        <v>282</v>
      </c>
      <c r="C8" s="6" t="s">
        <v>283</v>
      </c>
      <c r="D8" s="7"/>
      <c r="E8" s="7"/>
      <c r="F8" s="7"/>
    </row>
    <row r="9" ht="31.5" customHeight="1" spans="1:6">
      <c r="A9" s="8">
        <v>6</v>
      </c>
      <c r="B9" s="9" t="s">
        <v>284</v>
      </c>
      <c r="C9" s="10" t="s">
        <v>285</v>
      </c>
      <c r="D9" s="11"/>
      <c r="E9" s="11"/>
      <c r="F9" s="11"/>
    </row>
    <row r="10" ht="31.5" customHeight="1" spans="1:6">
      <c r="A10" s="4">
        <v>7</v>
      </c>
      <c r="B10" s="5" t="s">
        <v>286</v>
      </c>
      <c r="C10" s="6" t="s">
        <v>287</v>
      </c>
      <c r="D10" s="7"/>
      <c r="E10" s="7"/>
      <c r="F10" s="7"/>
    </row>
    <row r="11" ht="31.5" customHeight="1" spans="1:6">
      <c r="A11" s="8">
        <v>8</v>
      </c>
      <c r="B11" s="9" t="s">
        <v>288</v>
      </c>
      <c r="C11" s="10" t="s">
        <v>289</v>
      </c>
      <c r="D11" s="11"/>
      <c r="E11" s="11"/>
      <c r="F11" s="11"/>
    </row>
    <row r="12" ht="31.5" customHeight="1" spans="1:6">
      <c r="A12" s="4">
        <v>9</v>
      </c>
      <c r="B12" s="5" t="s">
        <v>290</v>
      </c>
      <c r="C12" s="6" t="s">
        <v>291</v>
      </c>
      <c r="D12" s="7"/>
      <c r="E12" s="7"/>
      <c r="F12" s="7"/>
    </row>
    <row r="13" ht="31.5" customHeight="1" spans="1:6">
      <c r="A13" s="8">
        <v>10</v>
      </c>
      <c r="B13" s="9" t="s">
        <v>292</v>
      </c>
      <c r="C13" s="10" t="s">
        <v>293</v>
      </c>
      <c r="D13" s="11"/>
      <c r="E13" s="11"/>
      <c r="F13" s="11"/>
    </row>
    <row r="14" ht="31.5" customHeight="1" spans="1:6">
      <c r="A14" s="4">
        <v>11</v>
      </c>
      <c r="B14" s="5" t="s">
        <v>294</v>
      </c>
      <c r="C14" s="6" t="s">
        <v>295</v>
      </c>
      <c r="D14" s="7"/>
      <c r="E14" s="7"/>
      <c r="F14" s="7"/>
    </row>
    <row r="15" ht="31.5" customHeight="1" spans="1:6">
      <c r="A15" s="8">
        <v>12</v>
      </c>
      <c r="B15" s="9" t="s">
        <v>296</v>
      </c>
      <c r="C15" s="10" t="s">
        <v>297</v>
      </c>
      <c r="D15" s="11"/>
      <c r="E15" s="11"/>
      <c r="F15" s="11"/>
    </row>
    <row r="16" ht="31.5" customHeight="1" spans="1:6">
      <c r="A16" s="4">
        <v>13</v>
      </c>
      <c r="B16" s="5" t="s">
        <v>298</v>
      </c>
      <c r="C16" s="6" t="s">
        <v>299</v>
      </c>
      <c r="D16" s="7"/>
      <c r="E16" s="7"/>
      <c r="F16" s="7"/>
    </row>
    <row r="17" ht="31.5" customHeight="1" spans="1:6">
      <c r="A17" s="8">
        <v>14</v>
      </c>
      <c r="B17" s="9" t="s">
        <v>300</v>
      </c>
      <c r="C17" s="10" t="s">
        <v>301</v>
      </c>
      <c r="D17" s="11"/>
      <c r="E17" s="11"/>
      <c r="F17" s="11"/>
    </row>
    <row r="18" ht="31.5" customHeight="1" spans="1:6">
      <c r="A18" s="4">
        <v>15</v>
      </c>
      <c r="B18" s="5" t="s">
        <v>302</v>
      </c>
      <c r="C18" s="6" t="s">
        <v>303</v>
      </c>
      <c r="D18" s="7"/>
      <c r="E18" s="7"/>
      <c r="F18" s="7"/>
    </row>
    <row r="19" ht="31.5" customHeight="1" spans="1:6">
      <c r="A19" s="8">
        <v>16</v>
      </c>
      <c r="B19" s="9" t="s">
        <v>304</v>
      </c>
      <c r="C19" s="10" t="s">
        <v>305</v>
      </c>
      <c r="D19" s="11"/>
      <c r="E19" s="11"/>
      <c r="F19" s="11"/>
    </row>
    <row r="20" ht="31.5" customHeight="1" spans="1:6">
      <c r="A20" s="4">
        <v>17</v>
      </c>
      <c r="B20" s="5" t="s">
        <v>306</v>
      </c>
      <c r="C20" s="6" t="s">
        <v>307</v>
      </c>
      <c r="D20" s="7"/>
      <c r="E20" s="7"/>
      <c r="F20" s="7"/>
    </row>
    <row r="21" ht="31.5" customHeight="1" spans="1:6">
      <c r="A21" s="8">
        <v>18</v>
      </c>
      <c r="B21" s="9" t="s">
        <v>308</v>
      </c>
      <c r="C21" s="10" t="s">
        <v>309</v>
      </c>
      <c r="D21" s="11"/>
      <c r="E21" s="11"/>
      <c r="F21" s="11"/>
    </row>
    <row r="22" ht="31.5" customHeight="1" spans="1:6">
      <c r="A22" s="4">
        <v>19</v>
      </c>
      <c r="B22" s="5" t="s">
        <v>310</v>
      </c>
      <c r="C22" s="6" t="s">
        <v>311</v>
      </c>
      <c r="D22" s="7"/>
      <c r="E22" s="7"/>
      <c r="F22" s="7"/>
    </row>
    <row r="23" ht="31.5" customHeight="1" spans="1:6">
      <c r="A23" s="8">
        <v>20</v>
      </c>
      <c r="B23" s="9" t="s">
        <v>312</v>
      </c>
      <c r="C23" s="10" t="s">
        <v>313</v>
      </c>
      <c r="D23" s="11"/>
      <c r="E23" s="11"/>
      <c r="F23" s="11"/>
    </row>
    <row r="25" ht="25.5" customHeight="1" spans="1:6">
      <c r="A25" s="12" t="s">
        <v>314</v>
      </c>
      <c r="B25" s="12"/>
      <c r="C25" s="12"/>
      <c r="D25" s="12"/>
      <c r="E25" s="12"/>
      <c r="F25" s="12"/>
    </row>
    <row r="26" ht="15" customHeight="1" spans="1:6">
      <c r="A26" s="13" t="s">
        <v>315</v>
      </c>
      <c r="B26" s="13"/>
      <c r="C26" s="13"/>
      <c r="D26" s="14">
        <f>COUNTIF(D4:D23,"✓")</f>
        <v>0</v>
      </c>
      <c r="E26" s="15"/>
      <c r="F26" s="15"/>
    </row>
    <row r="27" ht="15" customHeight="1" spans="1:6">
      <c r="A27" s="13" t="s">
        <v>266</v>
      </c>
      <c r="B27" s="13"/>
      <c r="C27" s="13"/>
      <c r="D27" s="14">
        <f>IFERROR(COUNTIF(D4:D23,"✓")/20*100,0)</f>
        <v>0</v>
      </c>
      <c r="E27" s="15"/>
      <c r="F27" s="15"/>
    </row>
  </sheetData>
  <mergeCells count="5">
    <mergeCell ref="A1:F1"/>
    <mergeCell ref="A2:F2"/>
    <mergeCell ref="A25:F25"/>
    <mergeCell ref="A26:C26"/>
    <mergeCell ref="A27:C27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 Waste Categories</vt:lpstr>
      <vt:lpstr>2. Monthly Waste Data</vt:lpstr>
      <vt:lpstr>3. Segregation &amp; Disposal</vt:lpstr>
      <vt:lpstr>4. Source-wise Inventory</vt:lpstr>
      <vt:lpstr>5. Composting &amp; Organic</vt:lpstr>
      <vt:lpstr>6. Recycling Revenue</vt:lpstr>
      <vt:lpstr>7. Roadmap &amp; Policy</vt:lpstr>
      <vt:lpstr>8. Data Quality Audit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cp:revision>0</cp:revision>
  <dcterms:created xsi:type="dcterms:W3CDTF">2026-06-10T04:27:00Z</dcterms:created>
  <dcterms:modified xsi:type="dcterms:W3CDTF">2026-06-10T05:47:29Z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