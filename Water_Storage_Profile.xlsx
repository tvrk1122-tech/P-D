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Water Storage Profile" sheetId="1" state="visible" r:id="rId3"/>
    <sheet name="2. Per Capita Adequacy" sheetId="2" state="visible" r:id="rId4"/>
    <sheet name="3. Maintenance Register" sheetId="3" state="visible" r:id="rId5"/>
    <sheet name="4. Conservation Measures" sheetId="4" state="visible" r:id="rId6"/>
    <sheet name="5. YoY Trend" sheetId="5" state="visible" r:id="rId7"/>
    <sheet name="6. Audit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<sst xmlns="http://schemas.openxmlformats.org/spreadsheetml/2006/main" count="279" uniqueCount="215">
  <si>
    <t xml:space="preserve">Campus Water Storage Profile — Tank Inventory &amp; Capacity Register</t>
  </si>
  <si>
    <t xml:space="preserve">Auto-Calculated | NAAC 7.1.4 | Water Audit Baseline | GOI 45 L/day/person Standard</t>
  </si>
  <si>
    <t xml:space="preserve">S.No.</t>
  </si>
  <si>
    <t xml:space="preserve">Location / Building</t>
  </si>
  <si>
    <t xml:space="preserve">Zone (Academic / Hostel / Support / Green)</t>
  </si>
  <si>
    <t xml:space="preserve">No. of Tanks</t>
  </si>
  <si>
    <t xml:space="preserve">Capacity per Tank (Litres)</t>
  </si>
  <si>
    <t xml:space="preserve">Total Capacity (Litres)</t>
  </si>
  <si>
    <t xml:space="preserve">Tank Type (Overhead / Underground / Both)</t>
  </si>
  <si>
    <t xml:space="preserve">Material (RCC / PVC / SS / FRP)</t>
  </si>
  <si>
    <t xml:space="preserve">Condition (Good / Fair / Poor)</t>
  </si>
  <si>
    <t xml:space="preserve">Academic Block 1</t>
  </si>
  <si>
    <t xml:space="preserve">Academic</t>
  </si>
  <si>
    <t xml:space="preserve">Overhead</t>
  </si>
  <si>
    <t xml:space="preserve">RCC</t>
  </si>
  <si>
    <t xml:space="preserve">Academic Block 2</t>
  </si>
  <si>
    <t xml:space="preserve">PVC</t>
  </si>
  <si>
    <t xml:space="preserve">Academic Block 3</t>
  </si>
  <si>
    <t xml:space="preserve">Underground</t>
  </si>
  <si>
    <t xml:space="preserve">Science Laboratory Complex</t>
  </si>
  <si>
    <t xml:space="preserve">Library Building</t>
  </si>
  <si>
    <t xml:space="preserve">Hostel Block A (Boys)</t>
  </si>
  <si>
    <t xml:space="preserve">Hostel</t>
  </si>
  <si>
    <t xml:space="preserve">Both</t>
  </si>
  <si>
    <t xml:space="preserve">Hostel Block B (Boys)</t>
  </si>
  <si>
    <t xml:space="preserve">Hostel Block C (Girls)</t>
  </si>
  <si>
    <t xml:space="preserve">Hostel Block D (Girls)</t>
  </si>
  <si>
    <t xml:space="preserve">Staff Quarters</t>
  </si>
  <si>
    <t xml:space="preserve">Canteen / Kitchen</t>
  </si>
  <si>
    <t xml:space="preserve">Support</t>
  </si>
  <si>
    <t xml:space="preserve">SS</t>
  </si>
  <si>
    <t xml:space="preserve">Administrative Block</t>
  </si>
  <si>
    <t xml:space="preserve">Sports Complex / Gymnasium</t>
  </si>
  <si>
    <t xml:space="preserve">Workshop / Engineering Block</t>
  </si>
  <si>
    <t xml:space="preserve">Garden / Irrigation / Landscaping</t>
  </si>
  <si>
    <t xml:space="preserve">Green</t>
  </si>
  <si>
    <t xml:space="preserve">Rainwater Harvesting Storage</t>
  </si>
  <si>
    <t xml:space="preserve">Fire Safety Reserve Tank</t>
  </si>
  <si>
    <t xml:space="preserve">Swimming Pool (if applicable)</t>
  </si>
  <si>
    <t xml:space="preserve">Central Water Treatment Plant</t>
  </si>
  <si>
    <t xml:space="preserve">GRAND TOTAL — Campus Water Storage</t>
  </si>
  <si>
    <t xml:space="preserve">TOTAL TANKS</t>
  </si>
  <si>
    <t xml:space="preserve">TOTAL CAPACITY (Litres)</t>
  </si>
  <si>
    <t xml:space="preserve">TOTAL CAPACITY (Kilolitres / m³)</t>
  </si>
  <si>
    <t xml:space="preserve">Zone-Wise Storage Summary</t>
  </si>
  <si>
    <t xml:space="preserve">Zone</t>
  </si>
  <si>
    <t xml:space="preserve">Tanks</t>
  </si>
  <si>
    <t xml:space="preserve">Capacity (Litres)</t>
  </si>
  <si>
    <t xml:space="preserve">Capacity (KL)</t>
  </si>
  <si>
    <t xml:space="preserve">% of Total</t>
  </si>
  <si>
    <t xml:space="preserve">Support Services</t>
  </si>
  <si>
    <t xml:space="preserve">Green / Irrigation</t>
  </si>
  <si>
    <t xml:space="preserve">Water Storage Adequacy — Per Capita Analysis (GOI Standard: 45 L/day/person)</t>
  </si>
  <si>
    <t xml:space="preserve">Is your campus storage sufficient for daily needs? | Gap analysis | Planning tool</t>
  </si>
  <si>
    <t xml:space="preserve">Parameter</t>
  </si>
  <si>
    <t xml:space="preserve">Value</t>
  </si>
  <si>
    <t xml:space="preserve">Unit</t>
  </si>
  <si>
    <t xml:space="preserve">Formula / Source</t>
  </si>
  <si>
    <t xml:space="preserve">Status</t>
  </si>
  <si>
    <t xml:space="preserve">Remarks</t>
  </si>
  <si>
    <t xml:space="preserve">Year</t>
  </si>
  <si>
    <t xml:space="preserve">Total Students (Enrolled)</t>
  </si>
  <si>
    <t xml:space="preserve">Nos.</t>
  </si>
  <si>
    <t xml:space="preserve">Enter from registrar</t>
  </si>
  <si>
    <t xml:space="preserve">Total Faculty &amp; Staff</t>
  </si>
  <si>
    <t xml:space="preserve">Enter from HR</t>
  </si>
  <si>
    <t xml:space="preserve">Hostel Residents (Students + Staff)</t>
  </si>
  <si>
    <t xml:space="preserve">Enter from hostel records</t>
  </si>
  <si>
    <t xml:space="preserve">Day Scholars (Non-Resident)</t>
  </si>
  <si>
    <t xml:space="preserve"> =C4-C6 (if applicable)</t>
  </si>
  <si>
    <t xml:space="preserve">Total Campus Population (Daily)</t>
  </si>
  <si>
    <t xml:space="preserve"> =C4+C5</t>
  </si>
  <si>
    <t xml:space="preserve">GOI Standard: Per Capita Water Requirement</t>
  </si>
  <si>
    <t xml:space="preserve">L/day/person</t>
  </si>
  <si>
    <t xml:space="preserve">GOI / IS 1172</t>
  </si>
  <si>
    <t xml:space="preserve">TOTAL DAILY WATER REQUIREMENT (Litres)</t>
  </si>
  <si>
    <t xml:space="preserve">Litres</t>
  </si>
  <si>
    <t xml:space="preserve"> =C8*C9</t>
  </si>
  <si>
    <t xml:space="preserve">Total Water Storage Capacity (Litres)</t>
  </si>
  <si>
    <t xml:space="preserve">From Sheet 1</t>
  </si>
  <si>
    <t xml:space="preserve">Storage as Days of Supply</t>
  </si>
  <si>
    <t xml:space="preserve">Days</t>
  </si>
  <si>
    <t xml:space="preserve"> =C11/C10</t>
  </si>
  <si>
    <t xml:space="preserve">MINIMUM RECOMMENDED STORAGE (2 days)</t>
  </si>
  <si>
    <t xml:space="preserve"> =C10*2</t>
  </si>
  <si>
    <t xml:space="preserve">STORAGE GAP / SURPLUS (Litres)</t>
  </si>
  <si>
    <t xml:space="preserve"> =C11-C13</t>
  </si>
  <si>
    <t xml:space="preserve">ADEQUACY STATUS</t>
  </si>
  <si>
    <t xml:space="preserve">IF(Gap≥0, Adequate, Deficit)</t>
  </si>
  <si>
    <t xml:space="preserve">Hostel-Specific Storage Adequacy</t>
  </si>
  <si>
    <t xml:space="preserve">Hostel Block</t>
  </si>
  <si>
    <t xml:space="preserve">Residents</t>
  </si>
  <si>
    <t xml:space="preserve">Storage (Litres)</t>
  </si>
  <si>
    <t xml:space="preserve">Daily Requirement (L)</t>
  </si>
  <si>
    <t xml:space="preserve">Days of Supply</t>
  </si>
  <si>
    <t xml:space="preserve">Gap / Surplus</t>
  </si>
  <si>
    <t xml:space="preserve">Tank Condition Assessment &amp; Maintenance Schedule</t>
  </si>
  <si>
    <t xml:space="preserve">Inspection log | Cleaning schedule | Maintenance compliance | Water quality link</t>
  </si>
  <si>
    <t xml:space="preserve">Location / Tank ID</t>
  </si>
  <si>
    <t xml:space="preserve">Condition (Good/Fair/Poor)</t>
  </si>
  <si>
    <t xml:space="preserve">Last Cleaning Date</t>
  </si>
  <si>
    <t xml:space="preserve">Cleaning Frequency (Monthly/Quarterly/Biannual)</t>
  </si>
  <si>
    <t xml:space="preserve">Next Cleaning Due</t>
  </si>
  <si>
    <t xml:space="preserve">Last Water Quality Test Date</t>
  </si>
  <si>
    <t xml:space="preserve">Test Result (Pass/Fail)</t>
  </si>
  <si>
    <t xml:space="preserve">Maintenance Remarks</t>
  </si>
  <si>
    <t xml:space="preserve">Maintenance Summary</t>
  </si>
  <si>
    <t xml:space="preserve">Total Tanks Tracked</t>
  </si>
  <si>
    <t xml:space="preserve">Tanks in Good Condition</t>
  </si>
  <si>
    <t xml:space="preserve">Tanks in Fair Condition</t>
  </si>
  <si>
    <t xml:space="preserve">Tanks in Poor Condition</t>
  </si>
  <si>
    <t xml:space="preserve">Tanks with Passed Water Test</t>
  </si>
  <si>
    <t xml:space="preserve">Tanks with Failed Water Test</t>
  </si>
  <si>
    <t xml:space="preserve">Water Conservation Facilities &amp; Measures — NAAC 7.1.4 Evidence</t>
  </si>
  <si>
    <t xml:space="preserve">Rainwater harvesting, recycling, conservation | Supports NAAC Criterion VII</t>
  </si>
  <si>
    <t xml:space="preserve">#</t>
  </si>
  <si>
    <t xml:space="preserve">Conservation Measure</t>
  </si>
  <si>
    <t xml:space="preserve">Description / Details</t>
  </si>
  <si>
    <t xml:space="preserve">Implemented (Y/N)</t>
  </si>
  <si>
    <t xml:space="preserve">Capacity / Scale</t>
  </si>
  <si>
    <t xml:space="preserve">Annual Water Saved (KL est.)</t>
  </si>
  <si>
    <t xml:space="preserve">Evidence Document</t>
  </si>
  <si>
    <t xml:space="preserve">Rainwater Harvesting System</t>
  </si>
  <si>
    <t xml:space="preserve">Rooftop collection → storage tanks / recharge pits</t>
  </si>
  <si>
    <t xml:space="preserve">Greywater Recycling / STP</t>
  </si>
  <si>
    <t xml:space="preserve">Sewage Treatment Plant for recycling wastewater for gardening / toilets</t>
  </si>
  <si>
    <t xml:space="preserve">Drip Irrigation System</t>
  </si>
  <si>
    <t xml:space="preserve">Micro-irrigation for gardens and landscaping; reduces water waste</t>
  </si>
  <si>
    <t xml:space="preserve">Water-Efficient Fixtures</t>
  </si>
  <si>
    <t xml:space="preserve">Low-flow taps, dual-flush toilets, sensor-based faucets installed</t>
  </si>
  <si>
    <t xml:space="preserve">Bore Well with Recharge</t>
  </si>
  <si>
    <t xml:space="preserve">Bore wells with recharge pits for groundwater replenishment</t>
  </si>
  <si>
    <t xml:space="preserve">Water Meters Installed</t>
  </si>
  <si>
    <t xml:space="preserve">Metered water supply at key points for monitoring and leak detection</t>
  </si>
  <si>
    <t xml:space="preserve">Leak Detection &amp; Repair Programme</t>
  </si>
  <si>
    <t xml:space="preserve">Regular inspection of pipes, tanks, and fixtures for leaks</t>
  </si>
  <si>
    <t xml:space="preserve">Water Audit Conducted</t>
  </si>
  <si>
    <t xml:space="preserve">Periodic water audit to assess consumption, losses, and savings</t>
  </si>
  <si>
    <t xml:space="preserve">Awareness Campaigns</t>
  </si>
  <si>
    <t xml:space="preserve">Signage, workshops, NSS drives on water conservation</t>
  </si>
  <si>
    <t xml:space="preserve">Green Landscaping / Xeriscaping</t>
  </si>
  <si>
    <t xml:space="preserve">Drought-resistant plants, mulching, reduced lawn area</t>
  </si>
  <si>
    <t xml:space="preserve">Condensate / AC Water Recovery</t>
  </si>
  <si>
    <t xml:space="preserve">Recovery of condensate water from AC units for reuse</t>
  </si>
  <si>
    <t xml:space="preserve">Zero Liquid Discharge (ZLD)</t>
  </si>
  <si>
    <t xml:space="preserve">Complete treatment and reuse of all wastewater on campus</t>
  </si>
  <si>
    <t xml:space="preserve">Conservation Summary</t>
  </si>
  <si>
    <t xml:space="preserve">Measures Implemented (Y)</t>
  </si>
  <si>
    <t xml:space="preserve">Measures Not Yet Implemented</t>
  </si>
  <si>
    <t xml:space="preserve">Implementation Rate (%)</t>
  </si>
  <si>
    <t xml:space="preserve">Total Estimated Annual Water Saved (KL)</t>
  </si>
  <si>
    <t xml:space="preserve">Water Storage &amp; Conservation — 5-Year Trend</t>
  </si>
  <si>
    <t xml:space="preserve">Track capacity growth and per capita improvement over time</t>
  </si>
  <si>
    <t xml:space="preserve">Year 1</t>
  </si>
  <si>
    <t xml:space="preserve">Year 2</t>
  </si>
  <si>
    <t xml:space="preserve">Year 3</t>
  </si>
  <si>
    <t xml:space="preserve">Year 4</t>
  </si>
  <si>
    <t xml:space="preserve">Year 5 (Current)</t>
  </si>
  <si>
    <t xml:space="preserve">5-Year Change</t>
  </si>
  <si>
    <t xml:space="preserve">Growth (%)</t>
  </si>
  <si>
    <t xml:space="preserve">Trend</t>
  </si>
  <si>
    <t xml:space="preserve">Total Storage Capacity (KL)</t>
  </si>
  <si>
    <t xml:space="preserve">Total Tanks (Nos.)</t>
  </si>
  <si>
    <t xml:space="preserve">Campus Population</t>
  </si>
  <si>
    <t xml:space="preserve">Per Capita Storage (L/person)</t>
  </si>
  <si>
    <t xml:space="preserve">Rainwater Harvested (KL/yr)</t>
  </si>
  <si>
    <t xml:space="preserve">Water Recycled via STP (KL/yr)</t>
  </si>
  <si>
    <t xml:space="preserve">Conservation Measures Implemented (of 12)</t>
  </si>
  <si>
    <t xml:space="preserve">Water Storage &amp; Conservation — Audit Checklist (NAAC 7.1.4)</t>
  </si>
  <si>
    <t xml:space="preserve">Validation for NAAC Criterion VII | Water Audit | Green Audit compliance</t>
  </si>
  <si>
    <t xml:space="preserve">Audit Item</t>
  </si>
  <si>
    <t xml:space="preserve">Description / Requirement</t>
  </si>
  <si>
    <t xml:space="preserve">Status (✓/✗/IP)</t>
  </si>
  <si>
    <t xml:space="preserve">Date</t>
  </si>
  <si>
    <t xml:space="preserve">Reviewer</t>
  </si>
  <si>
    <t xml:space="preserve">Tank inventory complete</t>
  </si>
  <si>
    <t xml:space="preserve">All tanks on campus documented with location, capacity, type, material, condition</t>
  </si>
  <si>
    <t xml:space="preserve">Total capacity calculated</t>
  </si>
  <si>
    <t xml:space="preserve">Grand total auto-calculated; verified against physical inspection</t>
  </si>
  <si>
    <t xml:space="preserve">Zone-wise summary</t>
  </si>
  <si>
    <t xml:space="preserve">Academic, Hostel, Support, Green zone totals computed and verified</t>
  </si>
  <si>
    <t xml:space="preserve">Per capita adequacy computed</t>
  </si>
  <si>
    <t xml:space="preserve">Daily requirement (45 L/person × population) compared against storage</t>
  </si>
  <si>
    <t xml:space="preserve">Minimum 2-day storage met</t>
  </si>
  <si>
    <t xml:space="preserve">Storage capacity ≥ 2 days' requirement (GOI/CPHEEO recommendation)</t>
  </si>
  <si>
    <t xml:space="preserve">Hostel-specific adequacy</t>
  </si>
  <si>
    <t xml:space="preserve">Each hostel block storage verified against resident count</t>
  </si>
  <si>
    <t xml:space="preserve">Tank condition assessed</t>
  </si>
  <si>
    <t xml:space="preserve">Every tank inspected: Good/Fair/Poor documented; poor tanks flagged</t>
  </si>
  <si>
    <t xml:space="preserve">Cleaning schedule maintained</t>
  </si>
  <si>
    <t xml:space="preserve">Cleaning frequency defined; next-due dates auto-calculated; compliance tracked</t>
  </si>
  <si>
    <t xml:space="preserve">Water quality testing done</t>
  </si>
  <si>
    <t xml:space="preserve">All tanks tested for potability (BIS standards); Pass/Fail recorded</t>
  </si>
  <si>
    <t xml:space="preserve">Rainwater harvesting installed</t>
  </si>
  <si>
    <t xml:space="preserve">RWH system documented: capacity, collection area, storage, recharge</t>
  </si>
  <si>
    <t xml:space="preserve">STP / greywater recycling</t>
  </si>
  <si>
    <t xml:space="preserve">STP operational; treated water reuse documented with capacity and utilization</t>
  </si>
  <si>
    <t xml:space="preserve">Water meters installed</t>
  </si>
  <si>
    <t xml:space="preserve">Metered supply at key locations; consumption data recorded monthly</t>
  </si>
  <si>
    <t xml:space="preserve">Leak detection programme</t>
  </si>
  <si>
    <t xml:space="preserve">Regular inspection schedule; repair log maintained</t>
  </si>
  <si>
    <t xml:space="preserve">Water audit conducted</t>
  </si>
  <si>
    <t xml:space="preserve">Formal water audit within last 2 years; report available</t>
  </si>
  <si>
    <t xml:space="preserve">Conservation awareness</t>
  </si>
  <si>
    <t xml:space="preserve">Signage, workshops, NSS drives on water conservation documented</t>
  </si>
  <si>
    <t xml:space="preserve">Water-efficient fixtures</t>
  </si>
  <si>
    <t xml:space="preserve">Low-flow taps, dual-flush toilets, sensor faucets — coverage documented</t>
  </si>
  <si>
    <t xml:space="preserve">5-year trend documented</t>
  </si>
  <si>
    <t xml:space="preserve">Storage capacity and conservation measures tracked over 5 years</t>
  </si>
  <si>
    <t xml:space="preserve">NAAC 7.1.4 evidence ready</t>
  </si>
  <si>
    <t xml:space="preserve">Complete documentation package ready for NAAC accreditation</t>
  </si>
  <si>
    <t xml:space="preserve">Green audit alignment</t>
  </si>
  <si>
    <t xml:space="preserve">Water data aligned with institutional Green Audit report</t>
  </si>
  <si>
    <t xml:space="preserve">Reproducibility verified</t>
  </si>
  <si>
    <t xml:space="preserve">All calculations reproducible from source data within ±5%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</si>
</sst>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General"/>
    <numFmt numFmtId="167" formatCode="#,##0.0"/>
    <numFmt numFmtId="168" formatCode="0.0"/>
    <numFmt numFmtId="169" formatCode="dd\-mmm\-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565C0"/>
      <name val="Arial"/>
      <family val="0"/>
      <charset val="1"/>
    </font>
    <font>
      <b val="true"/>
      <sz val="12"/>
      <color rgb="FF1565C0"/>
      <name val="Arial"/>
      <family val="0"/>
      <charset val="1"/>
    </font>
    <font>
      <b val="true"/>
      <sz val="14"/>
      <color rgb="FF1565C0"/>
      <name val="Arial"/>
      <family val="0"/>
      <charset val="1"/>
    </font>
    <font>
      <b val="true"/>
      <sz val="12"/>
      <color rgb="FF1A2E4F"/>
      <name val="Arial"/>
      <family val="0"/>
      <charset val="1"/>
    </font>
    <font>
      <b val="true"/>
      <sz val="12"/>
      <color rgb="FF548235"/>
      <name val="Arial"/>
      <family val="0"/>
      <charset val="1"/>
    </font>
    <font>
      <b val="true"/>
      <sz val="11"/>
      <color rgb="FF54823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565C0"/>
        <bgColor rgb="FF0D47A1"/>
      </patternFill>
    </fill>
    <fill>
      <patternFill patternType="solid">
        <fgColor rgb="FFE3F2FD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1A2E4F"/>
        <bgColor rgb="FF404040"/>
      </patternFill>
    </fill>
    <fill>
      <patternFill patternType="solid">
        <fgColor rgb="FFFFF5D9"/>
        <bgColor rgb="FFF2F2F2"/>
      </patternFill>
    </fill>
    <fill>
      <patternFill patternType="solid">
        <fgColor rgb="FFE2EFDA"/>
        <bgColor rgb="FFE3F2FD"/>
      </patternFill>
    </fill>
    <fill>
      <patternFill patternType="solid">
        <fgColor rgb="FF548235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F2F2F2"/>
        <bgColor rgb="FFE3F2FD"/>
      </patternFill>
    </fill>
    <fill>
      <patternFill patternType="solid">
        <fgColor rgb="FF8B0000"/>
        <bgColor rgb="FF800000"/>
      </patternFill>
    </fill>
    <fill>
      <patternFill patternType="solid">
        <fgColor rgb="FF0D47A1"/>
        <bgColor rgb="FF1565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993366"/>
      <rgbColor rgb="FFFFF5D9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A2E4F"/>
      <rgbColor rgb="FF339966"/>
      <rgbColor rgb="FF003300"/>
      <rgbColor rgb="FF333300"/>
      <rgbColor rgb="FF993300"/>
      <rgbColor rgb="FF993366"/>
      <rgbColor rgb="FF0D47A1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5" min="4" style="1" width="20"/>
    <col collapsed="false" customWidth="true" hidden="false" outlineLevel="0" max="8" min="6" style="1" width="22"/>
    <col collapsed="false" customWidth="true" hidden="false" outlineLevel="0" max="9" min="9" style="1" width="14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5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34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customFormat="false" ht="15" hidden="false" customHeight="true" outlineLevel="0" collapsed="false">
      <c r="A4" s="5" t="n">
        <v>1</v>
      </c>
      <c r="B4" s="6" t="s">
        <v>11</v>
      </c>
      <c r="C4" s="5" t="s">
        <v>12</v>
      </c>
      <c r="D4" s="7" t="n">
        <v>2</v>
      </c>
      <c r="E4" s="8" t="n">
        <v>10000</v>
      </c>
      <c r="F4" s="9" t="n">
        <f aca="false">IF(AND(D4&gt;0,E4&gt;0),D4*E4,0)</f>
        <v>20000</v>
      </c>
      <c r="G4" s="5" t="s">
        <v>13</v>
      </c>
      <c r="H4" s="5" t="s">
        <v>14</v>
      </c>
      <c r="I4" s="10"/>
    </row>
    <row r="5" customFormat="false" ht="15" hidden="false" customHeight="true" outlineLevel="0" collapsed="false">
      <c r="A5" s="11" t="n">
        <v>2</v>
      </c>
      <c r="B5" s="12" t="s">
        <v>15</v>
      </c>
      <c r="C5" s="11" t="s">
        <v>12</v>
      </c>
      <c r="D5" s="13" t="n">
        <v>1</v>
      </c>
      <c r="E5" s="14" t="n">
        <v>15000</v>
      </c>
      <c r="F5" s="15" t="n">
        <f aca="false">IF(AND(D5&gt;0,E5&gt;0),D5*E5,0)</f>
        <v>15000</v>
      </c>
      <c r="G5" s="11" t="s">
        <v>13</v>
      </c>
      <c r="H5" s="11" t="s">
        <v>16</v>
      </c>
      <c r="I5" s="16"/>
    </row>
    <row r="6" customFormat="false" ht="15" hidden="false" customHeight="true" outlineLevel="0" collapsed="false">
      <c r="A6" s="5" t="n">
        <v>3</v>
      </c>
      <c r="B6" s="6" t="s">
        <v>17</v>
      </c>
      <c r="C6" s="5" t="s">
        <v>12</v>
      </c>
      <c r="D6" s="7" t="n">
        <v>2</v>
      </c>
      <c r="E6" s="8" t="n">
        <v>10000</v>
      </c>
      <c r="F6" s="9" t="n">
        <f aca="false">IF(AND(D6&gt;0,E6&gt;0),D6*E6,0)</f>
        <v>20000</v>
      </c>
      <c r="G6" s="5" t="s">
        <v>18</v>
      </c>
      <c r="H6" s="5" t="s">
        <v>14</v>
      </c>
      <c r="I6" s="10"/>
    </row>
    <row r="7" customFormat="false" ht="15" hidden="false" customHeight="true" outlineLevel="0" collapsed="false">
      <c r="A7" s="11" t="n">
        <v>4</v>
      </c>
      <c r="B7" s="12" t="s">
        <v>19</v>
      </c>
      <c r="C7" s="11" t="s">
        <v>12</v>
      </c>
      <c r="D7" s="13" t="n">
        <v>1</v>
      </c>
      <c r="E7" s="14" t="n">
        <v>20000</v>
      </c>
      <c r="F7" s="15" t="n">
        <f aca="false">IF(AND(D7&gt;0,E7&gt;0),D7*E7,0)</f>
        <v>20000</v>
      </c>
      <c r="G7" s="11" t="s">
        <v>18</v>
      </c>
      <c r="H7" s="11" t="s">
        <v>14</v>
      </c>
      <c r="I7" s="16"/>
    </row>
    <row r="8" customFormat="false" ht="15" hidden="false" customHeight="true" outlineLevel="0" collapsed="false">
      <c r="A8" s="5" t="n">
        <v>5</v>
      </c>
      <c r="B8" s="6" t="s">
        <v>20</v>
      </c>
      <c r="C8" s="5" t="s">
        <v>12</v>
      </c>
      <c r="D8" s="7" t="n">
        <v>1</v>
      </c>
      <c r="E8" s="8" t="n">
        <v>5000</v>
      </c>
      <c r="F8" s="9" t="n">
        <f aca="false">IF(AND(D8&gt;0,E8&gt;0),D8*E8,0)</f>
        <v>5000</v>
      </c>
      <c r="G8" s="5" t="s">
        <v>13</v>
      </c>
      <c r="H8" s="5" t="s">
        <v>16</v>
      </c>
      <c r="I8" s="10"/>
    </row>
    <row r="9" customFormat="false" ht="15" hidden="false" customHeight="true" outlineLevel="0" collapsed="false">
      <c r="A9" s="11" t="n">
        <v>6</v>
      </c>
      <c r="B9" s="12" t="s">
        <v>21</v>
      </c>
      <c r="C9" s="11" t="s">
        <v>22</v>
      </c>
      <c r="D9" s="13" t="n">
        <v>3</v>
      </c>
      <c r="E9" s="14" t="n">
        <v>8000</v>
      </c>
      <c r="F9" s="15" t="n">
        <f aca="false">IF(AND(D9&gt;0,E9&gt;0),D9*E9,0)</f>
        <v>24000</v>
      </c>
      <c r="G9" s="11" t="s">
        <v>23</v>
      </c>
      <c r="H9" s="11" t="s">
        <v>14</v>
      </c>
      <c r="I9" s="16"/>
    </row>
    <row r="10" customFormat="false" ht="15" hidden="false" customHeight="true" outlineLevel="0" collapsed="false">
      <c r="A10" s="5" t="n">
        <v>7</v>
      </c>
      <c r="B10" s="6" t="s">
        <v>24</v>
      </c>
      <c r="C10" s="5" t="s">
        <v>22</v>
      </c>
      <c r="D10" s="7" t="n">
        <v>2</v>
      </c>
      <c r="E10" s="8" t="n">
        <v>12000</v>
      </c>
      <c r="F10" s="9" t="n">
        <f aca="false">IF(AND(D10&gt;0,E10&gt;0),D10*E10,0)</f>
        <v>24000</v>
      </c>
      <c r="G10" s="5" t="s">
        <v>23</v>
      </c>
      <c r="H10" s="5" t="s">
        <v>14</v>
      </c>
      <c r="I10" s="10"/>
    </row>
    <row r="11" customFormat="false" ht="15" hidden="false" customHeight="true" outlineLevel="0" collapsed="false">
      <c r="A11" s="11" t="n">
        <v>8</v>
      </c>
      <c r="B11" s="12" t="s">
        <v>25</v>
      </c>
      <c r="C11" s="11" t="s">
        <v>22</v>
      </c>
      <c r="D11" s="13" t="n">
        <v>3</v>
      </c>
      <c r="E11" s="14" t="n">
        <v>10000</v>
      </c>
      <c r="F11" s="15" t="n">
        <f aca="false">IF(AND(D11&gt;0,E11&gt;0),D11*E11,0)</f>
        <v>30000</v>
      </c>
      <c r="G11" s="11" t="s">
        <v>23</v>
      </c>
      <c r="H11" s="11" t="s">
        <v>14</v>
      </c>
      <c r="I11" s="16"/>
    </row>
    <row r="12" customFormat="false" ht="15" hidden="false" customHeight="true" outlineLevel="0" collapsed="false">
      <c r="A12" s="5" t="n">
        <v>9</v>
      </c>
      <c r="B12" s="6" t="s">
        <v>26</v>
      </c>
      <c r="C12" s="5" t="s">
        <v>22</v>
      </c>
      <c r="D12" s="7" t="n">
        <v>2</v>
      </c>
      <c r="E12" s="8" t="n">
        <v>8000</v>
      </c>
      <c r="F12" s="9" t="n">
        <f aca="false">IF(AND(D12&gt;0,E12&gt;0),D12*E12,0)</f>
        <v>16000</v>
      </c>
      <c r="G12" s="5" t="s">
        <v>13</v>
      </c>
      <c r="H12" s="5" t="s">
        <v>16</v>
      </c>
      <c r="I12" s="10"/>
    </row>
    <row r="13" customFormat="false" ht="15" hidden="false" customHeight="true" outlineLevel="0" collapsed="false">
      <c r="A13" s="11" t="n">
        <v>10</v>
      </c>
      <c r="B13" s="12" t="s">
        <v>27</v>
      </c>
      <c r="C13" s="11" t="s">
        <v>22</v>
      </c>
      <c r="D13" s="13" t="n">
        <v>2</v>
      </c>
      <c r="E13" s="14" t="n">
        <v>5000</v>
      </c>
      <c r="F13" s="15" t="n">
        <f aca="false">IF(AND(D13&gt;0,E13&gt;0),D13*E13,0)</f>
        <v>10000</v>
      </c>
      <c r="G13" s="11" t="s">
        <v>13</v>
      </c>
      <c r="H13" s="11" t="s">
        <v>16</v>
      </c>
      <c r="I13" s="16"/>
    </row>
    <row r="14" customFormat="false" ht="15" hidden="false" customHeight="true" outlineLevel="0" collapsed="false">
      <c r="A14" s="5" t="n">
        <v>11</v>
      </c>
      <c r="B14" s="6" t="s">
        <v>28</v>
      </c>
      <c r="C14" s="5" t="s">
        <v>29</v>
      </c>
      <c r="D14" s="7" t="n">
        <v>1</v>
      </c>
      <c r="E14" s="8" t="n">
        <v>5000</v>
      </c>
      <c r="F14" s="9" t="n">
        <f aca="false">IF(AND(D14&gt;0,E14&gt;0),D14*E14,0)</f>
        <v>5000</v>
      </c>
      <c r="G14" s="5" t="s">
        <v>13</v>
      </c>
      <c r="H14" s="5" t="s">
        <v>30</v>
      </c>
      <c r="I14" s="10"/>
    </row>
    <row r="15" customFormat="false" ht="15" hidden="false" customHeight="true" outlineLevel="0" collapsed="false">
      <c r="A15" s="11" t="n">
        <v>12</v>
      </c>
      <c r="B15" s="12" t="s">
        <v>31</v>
      </c>
      <c r="C15" s="11" t="s">
        <v>29</v>
      </c>
      <c r="D15" s="13" t="n">
        <v>1</v>
      </c>
      <c r="E15" s="14" t="n">
        <v>8000</v>
      </c>
      <c r="F15" s="15" t="n">
        <f aca="false">IF(AND(D15&gt;0,E15&gt;0),D15*E15,0)</f>
        <v>8000</v>
      </c>
      <c r="G15" s="11" t="s">
        <v>13</v>
      </c>
      <c r="H15" s="11" t="s">
        <v>16</v>
      </c>
      <c r="I15" s="16"/>
    </row>
    <row r="16" customFormat="false" ht="15" hidden="false" customHeight="true" outlineLevel="0" collapsed="false">
      <c r="A16" s="5" t="n">
        <v>13</v>
      </c>
      <c r="B16" s="6" t="s">
        <v>32</v>
      </c>
      <c r="C16" s="5" t="s">
        <v>29</v>
      </c>
      <c r="D16" s="7" t="n">
        <v>1</v>
      </c>
      <c r="E16" s="8" t="n">
        <v>5000</v>
      </c>
      <c r="F16" s="9" t="n">
        <f aca="false">IF(AND(D16&gt;0,E16&gt;0),D16*E16,0)</f>
        <v>5000</v>
      </c>
      <c r="G16" s="5" t="s">
        <v>18</v>
      </c>
      <c r="H16" s="5" t="s">
        <v>14</v>
      </c>
      <c r="I16" s="10"/>
    </row>
    <row r="17" customFormat="false" ht="15" hidden="false" customHeight="true" outlineLevel="0" collapsed="false">
      <c r="A17" s="11" t="n">
        <v>14</v>
      </c>
      <c r="B17" s="12" t="s">
        <v>33</v>
      </c>
      <c r="C17" s="11" t="s">
        <v>12</v>
      </c>
      <c r="D17" s="13" t="n">
        <v>1</v>
      </c>
      <c r="E17" s="14" t="n">
        <v>10000</v>
      </c>
      <c r="F17" s="15" t="n">
        <f aca="false">IF(AND(D17&gt;0,E17&gt;0),D17*E17,0)</f>
        <v>10000</v>
      </c>
      <c r="G17" s="11" t="s">
        <v>18</v>
      </c>
      <c r="H17" s="11" t="s">
        <v>14</v>
      </c>
      <c r="I17" s="16"/>
    </row>
    <row r="18" customFormat="false" ht="15" hidden="false" customHeight="true" outlineLevel="0" collapsed="false">
      <c r="A18" s="5" t="n">
        <v>15</v>
      </c>
      <c r="B18" s="6" t="s">
        <v>34</v>
      </c>
      <c r="C18" s="5" t="s">
        <v>35</v>
      </c>
      <c r="D18" s="7" t="n">
        <v>1</v>
      </c>
      <c r="E18" s="8" t="n">
        <v>20000</v>
      </c>
      <c r="F18" s="9" t="n">
        <f aca="false">IF(AND(D18&gt;0,E18&gt;0),D18*E18,0)</f>
        <v>20000</v>
      </c>
      <c r="G18" s="5" t="s">
        <v>18</v>
      </c>
      <c r="H18" s="5" t="s">
        <v>14</v>
      </c>
      <c r="I18" s="10"/>
    </row>
    <row r="19" customFormat="false" ht="15" hidden="false" customHeight="true" outlineLevel="0" collapsed="false">
      <c r="A19" s="11" t="n">
        <v>16</v>
      </c>
      <c r="B19" s="12" t="s">
        <v>36</v>
      </c>
      <c r="C19" s="11" t="s">
        <v>35</v>
      </c>
      <c r="D19" s="13" t="n">
        <v>2</v>
      </c>
      <c r="E19" s="14" t="n">
        <v>25000</v>
      </c>
      <c r="F19" s="15" t="n">
        <f aca="false">IF(AND(D19&gt;0,E19&gt;0),D19*E19,0)</f>
        <v>50000</v>
      </c>
      <c r="G19" s="11" t="s">
        <v>18</v>
      </c>
      <c r="H19" s="11" t="s">
        <v>14</v>
      </c>
      <c r="I19" s="16"/>
    </row>
    <row r="20" customFormat="false" ht="15" hidden="false" customHeight="true" outlineLevel="0" collapsed="false">
      <c r="A20" s="5" t="n">
        <v>17</v>
      </c>
      <c r="B20" s="6" t="s">
        <v>37</v>
      </c>
      <c r="C20" s="5" t="s">
        <v>29</v>
      </c>
      <c r="D20" s="7" t="n">
        <v>1</v>
      </c>
      <c r="E20" s="8" t="n">
        <v>50000</v>
      </c>
      <c r="F20" s="9" t="n">
        <f aca="false">IF(AND(D20&gt;0,E20&gt;0),D20*E20,0)</f>
        <v>50000</v>
      </c>
      <c r="G20" s="5" t="s">
        <v>18</v>
      </c>
      <c r="H20" s="5" t="s">
        <v>14</v>
      </c>
      <c r="I20" s="10"/>
    </row>
    <row r="21" customFormat="false" ht="15" hidden="false" customHeight="true" outlineLevel="0" collapsed="false">
      <c r="A21" s="11" t="n">
        <v>18</v>
      </c>
      <c r="B21" s="12" t="s">
        <v>38</v>
      </c>
      <c r="C21" s="11" t="s">
        <v>29</v>
      </c>
      <c r="D21" s="16"/>
      <c r="E21" s="16"/>
      <c r="F21" s="15" t="n">
        <f aca="false">IF(AND(D21&gt;0,E21&gt;0),D21*E21,0)</f>
        <v>0</v>
      </c>
      <c r="G21" s="11"/>
      <c r="H21" s="11"/>
      <c r="I21" s="16"/>
    </row>
    <row r="22" customFormat="false" ht="15" hidden="false" customHeight="true" outlineLevel="0" collapsed="false">
      <c r="A22" s="5" t="n">
        <v>19</v>
      </c>
      <c r="B22" s="6" t="s">
        <v>39</v>
      </c>
      <c r="C22" s="5" t="s">
        <v>29</v>
      </c>
      <c r="D22" s="7" t="n">
        <v>1</v>
      </c>
      <c r="E22" s="8" t="n">
        <v>30000</v>
      </c>
      <c r="F22" s="9" t="n">
        <f aca="false">IF(AND(D22&gt;0,E22&gt;0),D22*E22,0)</f>
        <v>30000</v>
      </c>
      <c r="G22" s="5" t="s">
        <v>18</v>
      </c>
      <c r="H22" s="5" t="s">
        <v>14</v>
      </c>
      <c r="I22" s="10"/>
    </row>
    <row r="23" customFormat="false" ht="15" hidden="false" customHeight="true" outlineLevel="0" collapsed="false">
      <c r="A23" s="11"/>
      <c r="B23" s="17"/>
      <c r="C23" s="11"/>
      <c r="D23" s="16"/>
      <c r="E23" s="16"/>
      <c r="F23" s="15" t="n">
        <f aca="false">IF(AND(D23&gt;0,E23&gt;0),D23*E23,0)</f>
        <v>0</v>
      </c>
      <c r="G23" s="11"/>
      <c r="H23" s="11"/>
      <c r="I23" s="16"/>
    </row>
    <row r="24" customFormat="false" ht="15" hidden="false" customHeight="true" outlineLevel="0" collapsed="false">
      <c r="A24" s="5"/>
      <c r="B24" s="18"/>
      <c r="C24" s="5"/>
      <c r="D24" s="10"/>
      <c r="E24" s="10"/>
      <c r="F24" s="9" t="n">
        <f aca="false">IF(AND(D24&gt;0,E24&gt;0),D24*E24,0)</f>
        <v>0</v>
      </c>
      <c r="G24" s="5"/>
      <c r="H24" s="5"/>
      <c r="I24" s="10"/>
    </row>
    <row r="25" customFormat="false" ht="15" hidden="false" customHeight="true" outlineLevel="0" collapsed="false">
      <c r="A25" s="11"/>
      <c r="B25" s="17"/>
      <c r="C25" s="11"/>
      <c r="D25" s="16"/>
      <c r="E25" s="16"/>
      <c r="F25" s="15" t="n">
        <f aca="false">IF(AND(D25&gt;0,E25&gt;0),D25*E25,0)</f>
        <v>0</v>
      </c>
      <c r="G25" s="11"/>
      <c r="H25" s="11"/>
      <c r="I25" s="16"/>
    </row>
    <row r="26" customFormat="false" ht="15" hidden="false" customHeight="true" outlineLevel="0" collapsed="false">
      <c r="A26" s="5"/>
      <c r="B26" s="18"/>
      <c r="C26" s="5"/>
      <c r="D26" s="10"/>
      <c r="E26" s="10"/>
      <c r="F26" s="9" t="n">
        <f aca="false">IF(AND(D26&gt;0,E26&gt;0),D26*E26,0)</f>
        <v>0</v>
      </c>
      <c r="G26" s="5"/>
      <c r="H26" s="5"/>
      <c r="I26" s="10"/>
    </row>
    <row r="27" customFormat="false" ht="15" hidden="false" customHeight="true" outlineLevel="0" collapsed="false">
      <c r="A27" s="11"/>
      <c r="B27" s="17"/>
      <c r="C27" s="11"/>
      <c r="D27" s="16"/>
      <c r="E27" s="16"/>
      <c r="F27" s="15" t="n">
        <f aca="false">IF(AND(D27&gt;0,E27&gt;0),D27*E27,0)</f>
        <v>0</v>
      </c>
      <c r="G27" s="11"/>
      <c r="H27" s="11"/>
      <c r="I27" s="16"/>
    </row>
    <row r="28" customFormat="false" ht="15" hidden="false" customHeight="true" outlineLevel="0" collapsed="false">
      <c r="A28" s="5"/>
      <c r="B28" s="18"/>
      <c r="C28" s="5"/>
      <c r="D28" s="10"/>
      <c r="E28" s="10"/>
      <c r="F28" s="9" t="n">
        <f aca="false">IF(AND(D28&gt;0,E28&gt;0),D28*E28,0)</f>
        <v>0</v>
      </c>
      <c r="G28" s="5"/>
      <c r="H28" s="5"/>
      <c r="I28" s="10"/>
    </row>
    <row r="29" customFormat="false" ht="15" hidden="false" customHeight="true" outlineLevel="0" collapsed="false">
      <c r="A29" s="11"/>
      <c r="B29" s="17"/>
      <c r="C29" s="11"/>
      <c r="D29" s="16"/>
      <c r="E29" s="16"/>
      <c r="F29" s="15" t="n">
        <f aca="false">IF(AND(D29&gt;0,E29&gt;0),D29*E29,0)</f>
        <v>0</v>
      </c>
      <c r="G29" s="11"/>
      <c r="H29" s="11"/>
      <c r="I29" s="16"/>
    </row>
    <row r="30" customFormat="false" ht="15" hidden="false" customHeight="true" outlineLevel="0" collapsed="false">
      <c r="A30" s="5"/>
      <c r="B30" s="18"/>
      <c r="C30" s="5"/>
      <c r="D30" s="10"/>
      <c r="E30" s="10"/>
      <c r="F30" s="9" t="n">
        <f aca="false">IF(AND(D30&gt;0,E30&gt;0),D30*E30,0)</f>
        <v>0</v>
      </c>
      <c r="G30" s="5"/>
      <c r="H30" s="5"/>
      <c r="I30" s="10"/>
    </row>
    <row r="31" customFormat="false" ht="15" hidden="false" customHeight="true" outlineLevel="0" collapsed="false">
      <c r="A31" s="11"/>
      <c r="B31" s="17"/>
      <c r="C31" s="11"/>
      <c r="D31" s="16"/>
      <c r="E31" s="16"/>
      <c r="F31" s="15" t="n">
        <f aca="false">IF(AND(D31&gt;0,E31&gt;0),D31*E31,0)</f>
        <v>0</v>
      </c>
      <c r="G31" s="11"/>
      <c r="H31" s="11"/>
      <c r="I31" s="16"/>
    </row>
    <row r="32" customFormat="false" ht="15" hidden="false" customHeight="true" outlineLevel="0" collapsed="false">
      <c r="A32" s="5"/>
      <c r="B32" s="18"/>
      <c r="C32" s="5"/>
      <c r="D32" s="10"/>
      <c r="E32" s="10"/>
      <c r="F32" s="9" t="n">
        <f aca="false">IF(AND(D32&gt;0,E32&gt;0),D32*E32,0)</f>
        <v>0</v>
      </c>
      <c r="G32" s="5"/>
      <c r="H32" s="5"/>
      <c r="I32" s="10"/>
    </row>
    <row r="33" customFormat="false" ht="15" hidden="false" customHeight="true" outlineLevel="0" collapsed="false">
      <c r="A33" s="11"/>
      <c r="B33" s="17"/>
      <c r="C33" s="11"/>
      <c r="D33" s="16"/>
      <c r="E33" s="16"/>
      <c r="F33" s="15" t="n">
        <f aca="false">IF(AND(D33&gt;0,E33&gt;0),D33*E33,0)</f>
        <v>0</v>
      </c>
      <c r="G33" s="11"/>
      <c r="H33" s="11"/>
      <c r="I33" s="16"/>
    </row>
    <row r="35" customFormat="false" ht="25.5" hidden="false" customHeight="true" outlineLevel="0" collapsed="false">
      <c r="A35" s="19" t="s">
        <v>40</v>
      </c>
      <c r="B35" s="19"/>
      <c r="C35" s="19"/>
      <c r="D35" s="19"/>
      <c r="E35" s="19"/>
      <c r="F35" s="19"/>
      <c r="G35" s="19"/>
      <c r="H35" s="19"/>
      <c r="I35" s="19"/>
    </row>
    <row r="36" customFormat="false" ht="23.25" hidden="false" customHeight="true" outlineLevel="0" collapsed="false">
      <c r="A36" s="20" t="s">
        <v>41</v>
      </c>
      <c r="B36" s="20"/>
      <c r="C36" s="20"/>
      <c r="D36" s="21" t="n">
        <f aca="false">SUM(D4:D33)</f>
        <v>28</v>
      </c>
      <c r="E36" s="22" t="s">
        <v>42</v>
      </c>
      <c r="F36" s="23" t="n">
        <f aca="false">SUM(F4:F33)</f>
        <v>362000</v>
      </c>
      <c r="G36" s="24"/>
      <c r="H36" s="24"/>
      <c r="I36" s="24"/>
    </row>
    <row r="37" customFormat="false" ht="15" hidden="false" customHeight="true" outlineLevel="0" collapsed="false">
      <c r="A37" s="25" t="s">
        <v>43</v>
      </c>
      <c r="B37" s="25"/>
      <c r="C37" s="25"/>
      <c r="D37" s="26"/>
      <c r="E37" s="26"/>
      <c r="F37" s="27" t="n">
        <f aca="false">F36/1000</f>
        <v>362</v>
      </c>
      <c r="G37" s="26"/>
      <c r="H37" s="26"/>
      <c r="I37" s="26"/>
    </row>
    <row r="39" customFormat="false" ht="25.5" hidden="false" customHeight="true" outlineLevel="0" collapsed="false">
      <c r="A39" s="3" t="s">
        <v>44</v>
      </c>
      <c r="B39" s="3"/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A40" s="4"/>
      <c r="B40" s="4" t="s">
        <v>45</v>
      </c>
      <c r="C40" s="4"/>
      <c r="D40" s="4" t="s">
        <v>46</v>
      </c>
      <c r="E40" s="4"/>
      <c r="F40" s="4" t="s">
        <v>47</v>
      </c>
      <c r="G40" s="4" t="s">
        <v>48</v>
      </c>
      <c r="H40" s="4" t="s">
        <v>49</v>
      </c>
      <c r="I40" s="4"/>
    </row>
    <row r="41" customFormat="false" ht="15" hidden="false" customHeight="true" outlineLevel="0" collapsed="false">
      <c r="A41" s="12" t="s">
        <v>12</v>
      </c>
      <c r="B41" s="12"/>
      <c r="C41" s="12"/>
      <c r="D41" s="13" t="n">
        <f aca="false">SUMPRODUCT((C4:C33="Academic")*D4:D33)</f>
        <v>8</v>
      </c>
      <c r="E41" s="28"/>
      <c r="F41" s="14" t="n">
        <f aca="false">SUMPRODUCT((C4:C33="Academic")*F4:F33)</f>
        <v>90000</v>
      </c>
      <c r="G41" s="29" t="n">
        <f aca="false">F41/1000</f>
        <v>90</v>
      </c>
      <c r="H41" s="30" t="n">
        <f aca="false">IF(F36&gt;0,F41/F36*100,0)</f>
        <v>24.8618784530387</v>
      </c>
      <c r="I41" s="28"/>
    </row>
    <row r="42" customFormat="false" ht="15" hidden="false" customHeight="true" outlineLevel="0" collapsed="false">
      <c r="A42" s="6" t="s">
        <v>22</v>
      </c>
      <c r="B42" s="6"/>
      <c r="C42" s="6"/>
      <c r="D42" s="7" t="n">
        <f aca="false">SUMPRODUCT((C4:C33="Hostel")*D4:D33)</f>
        <v>12</v>
      </c>
      <c r="E42" s="31"/>
      <c r="F42" s="8" t="n">
        <f aca="false">SUMPRODUCT((C4:C33="Hostel")*F4:F33)</f>
        <v>104000</v>
      </c>
      <c r="G42" s="32" t="n">
        <f aca="false">F42/1000</f>
        <v>104</v>
      </c>
      <c r="H42" s="33" t="n">
        <f aca="false">IF(F36&gt;0,F42/F36*100,0)</f>
        <v>28.7292817679558</v>
      </c>
      <c r="I42" s="31"/>
    </row>
    <row r="43" customFormat="false" ht="15" hidden="false" customHeight="true" outlineLevel="0" collapsed="false">
      <c r="A43" s="12" t="s">
        <v>50</v>
      </c>
      <c r="B43" s="12"/>
      <c r="C43" s="12"/>
      <c r="D43" s="13" t="n">
        <f aca="false">SUMPRODUCT((C4:C33="Support")*D4:D33)</f>
        <v>5</v>
      </c>
      <c r="E43" s="28"/>
      <c r="F43" s="14" t="n">
        <f aca="false">SUMPRODUCT((C4:C33="Support")*F4:F33)</f>
        <v>98000</v>
      </c>
      <c r="G43" s="29" t="n">
        <f aca="false">F43/1000</f>
        <v>98</v>
      </c>
      <c r="H43" s="30" t="n">
        <f aca="false">IF(F36&gt;0,F43/F36*100,0)</f>
        <v>27.0718232044199</v>
      </c>
      <c r="I43" s="28"/>
    </row>
    <row r="44" customFormat="false" ht="15" hidden="false" customHeight="true" outlineLevel="0" collapsed="false">
      <c r="A44" s="6" t="s">
        <v>51</v>
      </c>
      <c r="B44" s="6"/>
      <c r="C44" s="6"/>
      <c r="D44" s="7" t="n">
        <f aca="false">SUMPRODUCT((C4:C33="Green")*D4:D33)</f>
        <v>3</v>
      </c>
      <c r="E44" s="31"/>
      <c r="F44" s="8" t="n">
        <f aca="false">SUMPRODUCT((C4:C33="Green")*F4:F33)</f>
        <v>70000</v>
      </c>
      <c r="G44" s="32" t="n">
        <f aca="false">F44/1000</f>
        <v>70</v>
      </c>
      <c r="H44" s="33" t="n">
        <f aca="false">IF(F36&gt;0,F44/F36*100,0)</f>
        <v>19.3370165745856</v>
      </c>
      <c r="I44" s="31"/>
    </row>
  </sheetData>
  <mergeCells count="10">
    <mergeCell ref="A1:I1"/>
    <mergeCell ref="A2:I2"/>
    <mergeCell ref="A35:I35"/>
    <mergeCell ref="A36:C36"/>
    <mergeCell ref="A37:C37"/>
    <mergeCell ref="A39:I39"/>
    <mergeCell ref="A41:C41"/>
    <mergeCell ref="A42:C42"/>
    <mergeCell ref="A43:C43"/>
    <mergeCell ref="A44:C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7" min="3" style="1" width="22"/>
    <col collapsed="false" customWidth="true" hidden="false" outlineLevel="0" max="8" min="8" style="1" width="14"/>
  </cols>
  <sheetData>
    <row r="1" customFormat="false" ht="33.75" hidden="false" customHeight="true" outlineLevel="0" collapsed="false">
      <c r="A1" s="34" t="s">
        <v>52</v>
      </c>
      <c r="B1" s="34"/>
      <c r="C1" s="34"/>
      <c r="D1" s="34"/>
      <c r="E1" s="34"/>
      <c r="F1" s="34"/>
      <c r="G1" s="34"/>
      <c r="H1" s="34"/>
    </row>
    <row r="2" customFormat="false" ht="25.5" hidden="false" customHeight="true" outlineLevel="0" collapsed="false">
      <c r="A2" s="35" t="s">
        <v>53</v>
      </c>
      <c r="B2" s="35"/>
      <c r="C2" s="35"/>
      <c r="D2" s="35"/>
      <c r="E2" s="35"/>
      <c r="F2" s="35"/>
      <c r="G2" s="35"/>
      <c r="H2" s="35"/>
    </row>
    <row r="3" customFormat="false" ht="15" hidden="false" customHeight="true" outlineLevel="0" collapsed="false">
      <c r="A3" s="36" t="s">
        <v>2</v>
      </c>
      <c r="B3" s="36" t="s">
        <v>54</v>
      </c>
      <c r="C3" s="36" t="s">
        <v>55</v>
      </c>
      <c r="D3" s="36" t="s">
        <v>56</v>
      </c>
      <c r="E3" s="36" t="s">
        <v>57</v>
      </c>
      <c r="F3" s="36" t="s">
        <v>58</v>
      </c>
      <c r="G3" s="36" t="s">
        <v>59</v>
      </c>
      <c r="H3" s="36" t="s">
        <v>60</v>
      </c>
    </row>
    <row r="4" customFormat="false" ht="27.75" hidden="false" customHeight="true" outlineLevel="0" collapsed="false">
      <c r="A4" s="5" t="n">
        <v>1</v>
      </c>
      <c r="B4" s="6" t="s">
        <v>61</v>
      </c>
      <c r="C4" s="37"/>
      <c r="D4" s="5" t="s">
        <v>62</v>
      </c>
      <c r="E4" s="38" t="s">
        <v>63</v>
      </c>
      <c r="F4" s="10"/>
      <c r="G4" s="10"/>
      <c r="H4" s="10"/>
    </row>
    <row r="5" customFormat="false" ht="27.75" hidden="false" customHeight="true" outlineLevel="0" collapsed="false">
      <c r="A5" s="11" t="n">
        <v>2</v>
      </c>
      <c r="B5" s="12" t="s">
        <v>64</v>
      </c>
      <c r="C5" s="39"/>
      <c r="D5" s="11" t="s">
        <v>62</v>
      </c>
      <c r="E5" s="40" t="s">
        <v>65</v>
      </c>
      <c r="F5" s="16"/>
      <c r="G5" s="16"/>
      <c r="H5" s="16"/>
    </row>
    <row r="6" customFormat="false" ht="27.75" hidden="false" customHeight="true" outlineLevel="0" collapsed="false">
      <c r="A6" s="5" t="n">
        <v>3</v>
      </c>
      <c r="B6" s="6" t="s">
        <v>66</v>
      </c>
      <c r="C6" s="37"/>
      <c r="D6" s="5" t="s">
        <v>62</v>
      </c>
      <c r="E6" s="38" t="s">
        <v>67</v>
      </c>
      <c r="F6" s="10"/>
      <c r="G6" s="10"/>
      <c r="H6" s="10"/>
    </row>
    <row r="7" customFormat="false" ht="27.75" hidden="false" customHeight="true" outlineLevel="0" collapsed="false">
      <c r="A7" s="11" t="n">
        <v>4</v>
      </c>
      <c r="B7" s="12" t="s">
        <v>68</v>
      </c>
      <c r="C7" s="41" t="n">
        <f aca="false">IF(AND(C4&gt;0,C6&gt;0),C4-C6,0)</f>
        <v>0</v>
      </c>
      <c r="D7" s="11" t="s">
        <v>62</v>
      </c>
      <c r="E7" s="40" t="s">
        <v>69</v>
      </c>
      <c r="F7" s="16"/>
      <c r="G7" s="16"/>
      <c r="H7" s="16"/>
    </row>
    <row r="8" customFormat="false" ht="27.75" hidden="false" customHeight="true" outlineLevel="0" collapsed="false">
      <c r="A8" s="5" t="n">
        <v>5</v>
      </c>
      <c r="B8" s="6" t="s">
        <v>70</v>
      </c>
      <c r="C8" s="42" t="n">
        <f aca="false">C4+C5</f>
        <v>0</v>
      </c>
      <c r="D8" s="5" t="s">
        <v>62</v>
      </c>
      <c r="E8" s="38" t="s">
        <v>71</v>
      </c>
      <c r="F8" s="10"/>
      <c r="G8" s="10"/>
      <c r="H8" s="10"/>
    </row>
    <row r="9" customFormat="false" ht="27.75" hidden="false" customHeight="true" outlineLevel="0" collapsed="false">
      <c r="A9" s="11" t="n">
        <v>6</v>
      </c>
      <c r="B9" s="12" t="s">
        <v>72</v>
      </c>
      <c r="C9" s="41" t="n">
        <v>45</v>
      </c>
      <c r="D9" s="11" t="s">
        <v>73</v>
      </c>
      <c r="E9" s="40" t="s">
        <v>74</v>
      </c>
      <c r="F9" s="16"/>
      <c r="G9" s="16"/>
      <c r="H9" s="16"/>
    </row>
    <row r="10" customFormat="false" ht="27.75" hidden="false" customHeight="true" outlineLevel="0" collapsed="false">
      <c r="A10" s="5" t="n">
        <v>7</v>
      </c>
      <c r="B10" s="6" t="s">
        <v>75</v>
      </c>
      <c r="C10" s="43" t="n">
        <f aca="false">C8*C9</f>
        <v>0</v>
      </c>
      <c r="D10" s="5" t="s">
        <v>76</v>
      </c>
      <c r="E10" s="38" t="s">
        <v>77</v>
      </c>
      <c r="F10" s="10"/>
      <c r="G10" s="10"/>
      <c r="H10" s="10"/>
    </row>
    <row r="11" customFormat="false" ht="27.75" hidden="false" customHeight="true" outlineLevel="0" collapsed="false">
      <c r="A11" s="11" t="n">
        <v>8</v>
      </c>
      <c r="B11" s="12" t="s">
        <v>78</v>
      </c>
      <c r="C11" s="44" t="n">
        <f aca="false">'1. Water Storage Profile'!F36</f>
        <v>362000</v>
      </c>
      <c r="D11" s="11" t="s">
        <v>76</v>
      </c>
      <c r="E11" s="40" t="s">
        <v>79</v>
      </c>
      <c r="F11" s="16"/>
      <c r="G11" s="16"/>
      <c r="H11" s="16"/>
    </row>
    <row r="12" customFormat="false" ht="27.75" hidden="false" customHeight="true" outlineLevel="0" collapsed="false">
      <c r="A12" s="5" t="n">
        <v>9</v>
      </c>
      <c r="B12" s="6" t="s">
        <v>80</v>
      </c>
      <c r="C12" s="45" t="n">
        <f aca="false">IF(C10&gt;0,C11/C10,0)</f>
        <v>0</v>
      </c>
      <c r="D12" s="5" t="s">
        <v>81</v>
      </c>
      <c r="E12" s="38" t="s">
        <v>82</v>
      </c>
      <c r="F12" s="10"/>
      <c r="G12" s="10"/>
      <c r="H12" s="10"/>
    </row>
    <row r="13" customFormat="false" ht="27.75" hidden="false" customHeight="true" outlineLevel="0" collapsed="false">
      <c r="A13" s="11" t="n">
        <v>10</v>
      </c>
      <c r="B13" s="12" t="s">
        <v>83</v>
      </c>
      <c r="C13" s="44" t="n">
        <f aca="false">C10*2</f>
        <v>0</v>
      </c>
      <c r="D13" s="11" t="s">
        <v>76</v>
      </c>
      <c r="E13" s="40" t="s">
        <v>84</v>
      </c>
      <c r="F13" s="16"/>
      <c r="G13" s="16"/>
      <c r="H13" s="16"/>
    </row>
    <row r="14" customFormat="false" ht="27.75" hidden="false" customHeight="true" outlineLevel="0" collapsed="false">
      <c r="A14" s="5" t="n">
        <v>11</v>
      </c>
      <c r="B14" s="6" t="s">
        <v>85</v>
      </c>
      <c r="C14" s="46" t="n">
        <f aca="false">C11-C13</f>
        <v>362000</v>
      </c>
      <c r="D14" s="5" t="s">
        <v>76</v>
      </c>
      <c r="E14" s="38" t="s">
        <v>86</v>
      </c>
      <c r="F14" s="10"/>
      <c r="G14" s="10"/>
      <c r="H14" s="10"/>
    </row>
    <row r="15" customFormat="false" ht="27.75" hidden="false" customHeight="true" outlineLevel="0" collapsed="false">
      <c r="A15" s="11" t="n">
        <v>12</v>
      </c>
      <c r="B15" s="12" t="s">
        <v>87</v>
      </c>
      <c r="C15" s="47" t="str">
        <f aca="false">IF(C14="","Enter data above",IF(C14&gt;=0,"ADEQUATE — Storage meets 2-day requirement","DEFICIT — Need additional "&amp;TEXT(ABS(C14),"#,##0")&amp;" litres"))</f>
        <v>ADEQUATE — Storage meets 2-day requirement</v>
      </c>
      <c r="D15" s="11"/>
      <c r="E15" s="40" t="s">
        <v>88</v>
      </c>
      <c r="F15" s="16"/>
      <c r="G15" s="16"/>
      <c r="H15" s="16"/>
    </row>
    <row r="17" customFormat="false" ht="25.5" hidden="false" customHeight="true" outlineLevel="0" collapsed="false">
      <c r="A17" s="3" t="s">
        <v>89</v>
      </c>
      <c r="B17" s="3"/>
      <c r="C17" s="3"/>
      <c r="D17" s="3"/>
      <c r="E17" s="3"/>
      <c r="F17" s="3"/>
      <c r="G17" s="3"/>
      <c r="H17" s="3"/>
    </row>
    <row r="18" customFormat="false" ht="15" hidden="false" customHeight="true" outlineLevel="0" collapsed="false">
      <c r="A18" s="4" t="s">
        <v>2</v>
      </c>
      <c r="B18" s="4" t="s">
        <v>90</v>
      </c>
      <c r="C18" s="4" t="s">
        <v>91</v>
      </c>
      <c r="D18" s="4" t="s">
        <v>92</v>
      </c>
      <c r="E18" s="4" t="s">
        <v>93</v>
      </c>
      <c r="F18" s="4" t="s">
        <v>94</v>
      </c>
      <c r="G18" s="4" t="s">
        <v>95</v>
      </c>
      <c r="H18" s="4" t="s">
        <v>58</v>
      </c>
    </row>
    <row r="19" customFormat="false" ht="15" hidden="false" customHeight="true" outlineLevel="0" collapsed="false">
      <c r="A19" s="11" t="n">
        <v>1</v>
      </c>
      <c r="B19" s="16"/>
      <c r="C19" s="16"/>
      <c r="D19" s="16"/>
      <c r="E19" s="48" t="n">
        <f aca="false">C19*45</f>
        <v>0</v>
      </c>
      <c r="F19" s="30" t="n">
        <f aca="false">IF(E19&gt;0,D19/E19,0)</f>
        <v>0</v>
      </c>
      <c r="G19" s="14" t="n">
        <f aca="false">D19-(E19*2)</f>
        <v>0</v>
      </c>
      <c r="H19" s="13" t="str">
        <f aca="false">IF(G19&gt;=0,"Adequate","Deficit")</f>
        <v>Adequate</v>
      </c>
    </row>
    <row r="20" customFormat="false" ht="15" hidden="false" customHeight="true" outlineLevel="0" collapsed="false">
      <c r="A20" s="5" t="n">
        <v>2</v>
      </c>
      <c r="B20" s="10"/>
      <c r="C20" s="10"/>
      <c r="D20" s="10"/>
      <c r="E20" s="49" t="n">
        <f aca="false">C20*45</f>
        <v>0</v>
      </c>
      <c r="F20" s="33" t="n">
        <f aca="false">IF(E20&gt;0,D20/E20,0)</f>
        <v>0</v>
      </c>
      <c r="G20" s="8" t="n">
        <f aca="false">D20-(E20*2)</f>
        <v>0</v>
      </c>
      <c r="H20" s="7" t="str">
        <f aca="false">IF(G20&gt;=0,"Adequate","Deficit")</f>
        <v>Adequate</v>
      </c>
    </row>
    <row r="21" customFormat="false" ht="15" hidden="false" customHeight="true" outlineLevel="0" collapsed="false">
      <c r="A21" s="11" t="n">
        <v>3</v>
      </c>
      <c r="B21" s="16"/>
      <c r="C21" s="16"/>
      <c r="D21" s="16"/>
      <c r="E21" s="48" t="n">
        <f aca="false">C21*45</f>
        <v>0</v>
      </c>
      <c r="F21" s="30" t="n">
        <f aca="false">IF(E21&gt;0,D21/E21,0)</f>
        <v>0</v>
      </c>
      <c r="G21" s="14" t="n">
        <f aca="false">D21-(E21*2)</f>
        <v>0</v>
      </c>
      <c r="H21" s="13" t="str">
        <f aca="false">IF(G21&gt;=0,"Adequate","Deficit")</f>
        <v>Adequate</v>
      </c>
    </row>
    <row r="22" customFormat="false" ht="15" hidden="false" customHeight="true" outlineLevel="0" collapsed="false">
      <c r="A22" s="5" t="n">
        <v>4</v>
      </c>
      <c r="B22" s="10"/>
      <c r="C22" s="10"/>
      <c r="D22" s="10"/>
      <c r="E22" s="49" t="n">
        <f aca="false">C22*45</f>
        <v>0</v>
      </c>
      <c r="F22" s="33" t="n">
        <f aca="false">IF(E22&gt;0,D22/E22,0)</f>
        <v>0</v>
      </c>
      <c r="G22" s="8" t="n">
        <f aca="false">D22-(E22*2)</f>
        <v>0</v>
      </c>
      <c r="H22" s="7" t="str">
        <f aca="false">IF(G22&gt;=0,"Adequate","Deficit")</f>
        <v>Adequate</v>
      </c>
    </row>
    <row r="23" customFormat="false" ht="15" hidden="false" customHeight="true" outlineLevel="0" collapsed="false">
      <c r="A23" s="11" t="n">
        <v>5</v>
      </c>
      <c r="B23" s="16"/>
      <c r="C23" s="16"/>
      <c r="D23" s="16"/>
      <c r="E23" s="48" t="n">
        <f aca="false">C23*45</f>
        <v>0</v>
      </c>
      <c r="F23" s="30" t="n">
        <f aca="false">IF(E23&gt;0,D23/E23,0)</f>
        <v>0</v>
      </c>
      <c r="G23" s="14" t="n">
        <f aca="false">D23-(E23*2)</f>
        <v>0</v>
      </c>
      <c r="H23" s="13" t="str">
        <f aca="false">IF(G23&gt;=0,"Adequate","Deficit")</f>
        <v>Adequate</v>
      </c>
    </row>
    <row r="24" customFormat="false" ht="15" hidden="false" customHeight="true" outlineLevel="0" collapsed="false">
      <c r="A24" s="5" t="n">
        <v>6</v>
      </c>
      <c r="B24" s="10"/>
      <c r="C24" s="10"/>
      <c r="D24" s="10"/>
      <c r="E24" s="49" t="n">
        <f aca="false">C24*45</f>
        <v>0</v>
      </c>
      <c r="F24" s="33" t="n">
        <f aca="false">IF(E24&gt;0,D24/E24,0)</f>
        <v>0</v>
      </c>
      <c r="G24" s="8" t="n">
        <f aca="false">D24-(E24*2)</f>
        <v>0</v>
      </c>
      <c r="H24" s="7" t="str">
        <f aca="false">IF(G24&gt;=0,"Adequate","Deficit")</f>
        <v>Adequate</v>
      </c>
    </row>
    <row r="25" customFormat="false" ht="15" hidden="false" customHeight="true" outlineLevel="0" collapsed="false">
      <c r="A25" s="11" t="n">
        <v>7</v>
      </c>
      <c r="B25" s="16"/>
      <c r="C25" s="16"/>
      <c r="D25" s="16"/>
      <c r="E25" s="48" t="n">
        <f aca="false">C25*45</f>
        <v>0</v>
      </c>
      <c r="F25" s="30" t="n">
        <f aca="false">IF(E25&gt;0,D25/E25,0)</f>
        <v>0</v>
      </c>
      <c r="G25" s="14" t="n">
        <f aca="false">D25-(E25*2)</f>
        <v>0</v>
      </c>
      <c r="H25" s="13" t="str">
        <f aca="false">IF(G25&gt;=0,"Adequate","Deficit")</f>
        <v>Adequate</v>
      </c>
    </row>
    <row r="26" customFormat="false" ht="15" hidden="false" customHeight="true" outlineLevel="0" collapsed="false">
      <c r="A26" s="5" t="n">
        <v>8</v>
      </c>
      <c r="B26" s="10"/>
      <c r="C26" s="10"/>
      <c r="D26" s="10"/>
      <c r="E26" s="49" t="n">
        <f aca="false">C26*45</f>
        <v>0</v>
      </c>
      <c r="F26" s="33" t="n">
        <f aca="false">IF(E26&gt;0,D26/E26,0)</f>
        <v>0</v>
      </c>
      <c r="G26" s="8" t="n">
        <f aca="false">D26-(E26*2)</f>
        <v>0</v>
      </c>
      <c r="H26" s="7" t="str">
        <f aca="false">IF(G26&gt;=0,"Adequate","Deficit")</f>
        <v>Adequate</v>
      </c>
    </row>
    <row r="27" customFormat="false" ht="15" hidden="false" customHeight="true" outlineLevel="0" collapsed="false">
      <c r="A27" s="11" t="n">
        <v>9</v>
      </c>
      <c r="B27" s="16"/>
      <c r="C27" s="16"/>
      <c r="D27" s="16"/>
      <c r="E27" s="48" t="n">
        <f aca="false">C27*45</f>
        <v>0</v>
      </c>
      <c r="F27" s="30" t="n">
        <f aca="false">IF(E27&gt;0,D27/E27,0)</f>
        <v>0</v>
      </c>
      <c r="G27" s="14" t="n">
        <f aca="false">D27-(E27*2)</f>
        <v>0</v>
      </c>
      <c r="H27" s="13" t="str">
        <f aca="false">IF(G27&gt;=0,"Adequate","Deficit")</f>
        <v>Adequate</v>
      </c>
    </row>
    <row r="28" customFormat="false" ht="15" hidden="false" customHeight="true" outlineLevel="0" collapsed="false">
      <c r="A28" s="5" t="n">
        <v>10</v>
      </c>
      <c r="B28" s="10"/>
      <c r="C28" s="10"/>
      <c r="D28" s="10"/>
      <c r="E28" s="49" t="n">
        <f aca="false">C28*45</f>
        <v>0</v>
      </c>
      <c r="F28" s="33" t="n">
        <f aca="false">IF(E28&gt;0,D28/E28,0)</f>
        <v>0</v>
      </c>
      <c r="G28" s="8" t="n">
        <f aca="false">D28-(E28*2)</f>
        <v>0</v>
      </c>
      <c r="H28" s="7" t="str">
        <f aca="false">IF(G28&gt;=0,"Adequate","Deficit")</f>
        <v>Adequate</v>
      </c>
    </row>
  </sheetData>
  <mergeCells count="3">
    <mergeCell ref="A1:H1"/>
    <mergeCell ref="A2:H2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5" min="4" style="1" width="18"/>
    <col collapsed="false" customWidth="true" hidden="false" outlineLevel="0" max="7" min="6" style="1" width="22"/>
    <col collapsed="false" customWidth="true" hidden="false" outlineLevel="0" max="9" min="8" style="1" width="18"/>
    <col collapsed="false" customWidth="true" hidden="false" outlineLevel="0" max="10" min="10" style="1" width="14"/>
  </cols>
  <sheetData>
    <row r="1" customFormat="false" ht="33.75" hidden="false" customHeight="true" outlineLevel="0" collapsed="false">
      <c r="A1" s="50" t="s">
        <v>96</v>
      </c>
      <c r="B1" s="50"/>
      <c r="C1" s="50"/>
      <c r="D1" s="50"/>
      <c r="E1" s="50"/>
      <c r="F1" s="50"/>
      <c r="G1" s="50"/>
      <c r="H1" s="50"/>
      <c r="I1" s="50"/>
      <c r="J1" s="50"/>
    </row>
    <row r="2" customFormat="false" ht="25.5" hidden="false" customHeight="true" outlineLevel="0" collapsed="false">
      <c r="A2" s="51" t="s">
        <v>97</v>
      </c>
      <c r="B2" s="51"/>
      <c r="C2" s="51"/>
      <c r="D2" s="51"/>
      <c r="E2" s="51"/>
      <c r="F2" s="51"/>
      <c r="G2" s="51"/>
      <c r="H2" s="51"/>
      <c r="I2" s="51"/>
      <c r="J2" s="51"/>
    </row>
    <row r="3" customFormat="false" ht="34.5" hidden="false" customHeight="true" outlineLevel="0" collapsed="false">
      <c r="A3" s="52" t="s">
        <v>2</v>
      </c>
      <c r="B3" s="52" t="s">
        <v>98</v>
      </c>
      <c r="C3" s="52" t="s">
        <v>47</v>
      </c>
      <c r="D3" s="52" t="s">
        <v>99</v>
      </c>
      <c r="E3" s="52" t="s">
        <v>100</v>
      </c>
      <c r="F3" s="52" t="s">
        <v>101</v>
      </c>
      <c r="G3" s="52" t="s">
        <v>102</v>
      </c>
      <c r="H3" s="52" t="s">
        <v>103</v>
      </c>
      <c r="I3" s="52" t="s">
        <v>104</v>
      </c>
      <c r="J3" s="52" t="s">
        <v>105</v>
      </c>
    </row>
    <row r="4" customFormat="false" ht="15" hidden="false" customHeight="true" outlineLevel="0" collapsed="false">
      <c r="A4" s="53" t="n">
        <v>1</v>
      </c>
      <c r="B4" s="54"/>
      <c r="C4" s="54"/>
      <c r="D4" s="54"/>
      <c r="E4" s="54"/>
      <c r="F4" s="54"/>
      <c r="G4" s="55" t="str">
        <f aca="false">IF(AND(E4&lt;&gt;"",F4&lt;&gt;""),IF(F4="Monthly",EDATE(E4,1),IF(F4="Quarterly",EDATE(E4,3),IF(F4="Biannual",EDATE(E4,6),""))),"")</f>
        <v/>
      </c>
      <c r="H4" s="54"/>
      <c r="I4" s="54"/>
      <c r="J4" s="54"/>
    </row>
    <row r="5" customFormat="false" ht="15" hidden="false" customHeight="true" outlineLevel="0" collapsed="false">
      <c r="A5" s="11" t="n">
        <v>2</v>
      </c>
      <c r="B5" s="16"/>
      <c r="C5" s="16"/>
      <c r="D5" s="16"/>
      <c r="E5" s="16"/>
      <c r="F5" s="16"/>
      <c r="G5" s="56" t="str">
        <f aca="false">IF(AND(E5&lt;&gt;"",F5&lt;&gt;""),IF(F5="Monthly",EDATE(E5,1),IF(F5="Quarterly",EDATE(E5,3),IF(F5="Biannual",EDATE(E5,6),""))),"")</f>
        <v/>
      </c>
      <c r="H5" s="16"/>
      <c r="I5" s="16"/>
      <c r="J5" s="16"/>
    </row>
    <row r="6" customFormat="false" ht="15" hidden="false" customHeight="true" outlineLevel="0" collapsed="false">
      <c r="A6" s="53" t="n">
        <v>3</v>
      </c>
      <c r="B6" s="54"/>
      <c r="C6" s="54"/>
      <c r="D6" s="54"/>
      <c r="E6" s="54"/>
      <c r="F6" s="54"/>
      <c r="G6" s="55" t="str">
        <f aca="false">IF(AND(E6&lt;&gt;"",F6&lt;&gt;""),IF(F6="Monthly",EDATE(E6,1),IF(F6="Quarterly",EDATE(E6,3),IF(F6="Biannual",EDATE(E6,6),""))),"")</f>
        <v/>
      </c>
      <c r="H6" s="54"/>
      <c r="I6" s="54"/>
      <c r="J6" s="54"/>
    </row>
    <row r="7" customFormat="false" ht="15" hidden="false" customHeight="true" outlineLevel="0" collapsed="false">
      <c r="A7" s="11" t="n">
        <v>4</v>
      </c>
      <c r="B7" s="16"/>
      <c r="C7" s="16"/>
      <c r="D7" s="16"/>
      <c r="E7" s="16"/>
      <c r="F7" s="16"/>
      <c r="G7" s="56" t="str">
        <f aca="false">IF(AND(E7&lt;&gt;"",F7&lt;&gt;""),IF(F7="Monthly",EDATE(E7,1),IF(F7="Quarterly",EDATE(E7,3),IF(F7="Biannual",EDATE(E7,6),""))),"")</f>
        <v/>
      </c>
      <c r="H7" s="16"/>
      <c r="I7" s="16"/>
      <c r="J7" s="16"/>
    </row>
    <row r="8" customFormat="false" ht="15" hidden="false" customHeight="true" outlineLevel="0" collapsed="false">
      <c r="A8" s="53" t="n">
        <v>5</v>
      </c>
      <c r="B8" s="54"/>
      <c r="C8" s="54"/>
      <c r="D8" s="54"/>
      <c r="E8" s="54"/>
      <c r="F8" s="54"/>
      <c r="G8" s="55" t="str">
        <f aca="false">IF(AND(E8&lt;&gt;"",F8&lt;&gt;""),IF(F8="Monthly",EDATE(E8,1),IF(F8="Quarterly",EDATE(E8,3),IF(F8="Biannual",EDATE(E8,6),""))),"")</f>
        <v/>
      </c>
      <c r="H8" s="54"/>
      <c r="I8" s="54"/>
      <c r="J8" s="54"/>
    </row>
    <row r="9" customFormat="false" ht="15" hidden="false" customHeight="true" outlineLevel="0" collapsed="false">
      <c r="A9" s="11" t="n">
        <v>6</v>
      </c>
      <c r="B9" s="16"/>
      <c r="C9" s="16"/>
      <c r="D9" s="16"/>
      <c r="E9" s="16"/>
      <c r="F9" s="16"/>
      <c r="G9" s="56" t="str">
        <f aca="false">IF(AND(E9&lt;&gt;"",F9&lt;&gt;""),IF(F9="Monthly",EDATE(E9,1),IF(F9="Quarterly",EDATE(E9,3),IF(F9="Biannual",EDATE(E9,6),""))),"")</f>
        <v/>
      </c>
      <c r="H9" s="16"/>
      <c r="I9" s="16"/>
      <c r="J9" s="16"/>
    </row>
    <row r="10" customFormat="false" ht="15" hidden="false" customHeight="true" outlineLevel="0" collapsed="false">
      <c r="A10" s="53" t="n">
        <v>7</v>
      </c>
      <c r="B10" s="54"/>
      <c r="C10" s="54"/>
      <c r="D10" s="54"/>
      <c r="E10" s="54"/>
      <c r="F10" s="54"/>
      <c r="G10" s="55" t="str">
        <f aca="false">IF(AND(E10&lt;&gt;"",F10&lt;&gt;""),IF(F10="Monthly",EDATE(E10,1),IF(F10="Quarterly",EDATE(E10,3),IF(F10="Biannual",EDATE(E10,6),""))),"")</f>
        <v/>
      </c>
      <c r="H10" s="54"/>
      <c r="I10" s="54"/>
      <c r="J10" s="54"/>
    </row>
    <row r="11" customFormat="false" ht="15" hidden="false" customHeight="true" outlineLevel="0" collapsed="false">
      <c r="A11" s="11" t="n">
        <v>8</v>
      </c>
      <c r="B11" s="16"/>
      <c r="C11" s="16"/>
      <c r="D11" s="16"/>
      <c r="E11" s="16"/>
      <c r="F11" s="16"/>
      <c r="G11" s="56" t="str">
        <f aca="false">IF(AND(E11&lt;&gt;"",F11&lt;&gt;""),IF(F11="Monthly",EDATE(E11,1),IF(F11="Quarterly",EDATE(E11,3),IF(F11="Biannual",EDATE(E11,6),""))),"")</f>
        <v/>
      </c>
      <c r="H11" s="16"/>
      <c r="I11" s="16"/>
      <c r="J11" s="16"/>
    </row>
    <row r="12" customFormat="false" ht="15" hidden="false" customHeight="true" outlineLevel="0" collapsed="false">
      <c r="A12" s="53" t="n">
        <v>9</v>
      </c>
      <c r="B12" s="54"/>
      <c r="C12" s="54"/>
      <c r="D12" s="54"/>
      <c r="E12" s="54"/>
      <c r="F12" s="54"/>
      <c r="G12" s="55" t="str">
        <f aca="false">IF(AND(E12&lt;&gt;"",F12&lt;&gt;""),IF(F12="Monthly",EDATE(E12,1),IF(F12="Quarterly",EDATE(E12,3),IF(F12="Biannual",EDATE(E12,6),""))),"")</f>
        <v/>
      </c>
      <c r="H12" s="54"/>
      <c r="I12" s="54"/>
      <c r="J12" s="54"/>
    </row>
    <row r="13" customFormat="false" ht="15" hidden="false" customHeight="true" outlineLevel="0" collapsed="false">
      <c r="A13" s="11" t="n">
        <v>10</v>
      </c>
      <c r="B13" s="16"/>
      <c r="C13" s="16"/>
      <c r="D13" s="16"/>
      <c r="E13" s="16"/>
      <c r="F13" s="16"/>
      <c r="G13" s="56" t="str">
        <f aca="false">IF(AND(E13&lt;&gt;"",F13&lt;&gt;""),IF(F13="Monthly",EDATE(E13,1),IF(F13="Quarterly",EDATE(E13,3),IF(F13="Biannual",EDATE(E13,6),""))),"")</f>
        <v/>
      </c>
      <c r="H13" s="16"/>
      <c r="I13" s="16"/>
      <c r="J13" s="16"/>
    </row>
    <row r="14" customFormat="false" ht="15" hidden="false" customHeight="true" outlineLevel="0" collapsed="false">
      <c r="A14" s="53" t="n">
        <v>11</v>
      </c>
      <c r="B14" s="54"/>
      <c r="C14" s="54"/>
      <c r="D14" s="54"/>
      <c r="E14" s="54"/>
      <c r="F14" s="54"/>
      <c r="G14" s="55" t="str">
        <f aca="false">IF(AND(E14&lt;&gt;"",F14&lt;&gt;""),IF(F14="Monthly",EDATE(E14,1),IF(F14="Quarterly",EDATE(E14,3),IF(F14="Biannual",EDATE(E14,6),""))),"")</f>
        <v/>
      </c>
      <c r="H14" s="54"/>
      <c r="I14" s="54"/>
      <c r="J14" s="54"/>
    </row>
    <row r="15" customFormat="false" ht="15" hidden="false" customHeight="true" outlineLevel="0" collapsed="false">
      <c r="A15" s="11" t="n">
        <v>12</v>
      </c>
      <c r="B15" s="16"/>
      <c r="C15" s="16"/>
      <c r="D15" s="16"/>
      <c r="E15" s="16"/>
      <c r="F15" s="16"/>
      <c r="G15" s="56" t="str">
        <f aca="false">IF(AND(E15&lt;&gt;"",F15&lt;&gt;""),IF(F15="Monthly",EDATE(E15,1),IF(F15="Quarterly",EDATE(E15,3),IF(F15="Biannual",EDATE(E15,6),""))),"")</f>
        <v/>
      </c>
      <c r="H15" s="16"/>
      <c r="I15" s="16"/>
      <c r="J15" s="16"/>
    </row>
    <row r="16" customFormat="false" ht="15" hidden="false" customHeight="true" outlineLevel="0" collapsed="false">
      <c r="A16" s="53" t="n">
        <v>13</v>
      </c>
      <c r="B16" s="54"/>
      <c r="C16" s="54"/>
      <c r="D16" s="54"/>
      <c r="E16" s="54"/>
      <c r="F16" s="54"/>
      <c r="G16" s="55" t="str">
        <f aca="false">IF(AND(E16&lt;&gt;"",F16&lt;&gt;""),IF(F16="Monthly",EDATE(E16,1),IF(F16="Quarterly",EDATE(E16,3),IF(F16="Biannual",EDATE(E16,6),""))),"")</f>
        <v/>
      </c>
      <c r="H16" s="54"/>
      <c r="I16" s="54"/>
      <c r="J16" s="54"/>
    </row>
    <row r="17" customFormat="false" ht="15" hidden="false" customHeight="true" outlineLevel="0" collapsed="false">
      <c r="A17" s="11" t="n">
        <v>14</v>
      </c>
      <c r="B17" s="16"/>
      <c r="C17" s="16"/>
      <c r="D17" s="16"/>
      <c r="E17" s="16"/>
      <c r="F17" s="16"/>
      <c r="G17" s="56" t="str">
        <f aca="false">IF(AND(E17&lt;&gt;"",F17&lt;&gt;""),IF(F17="Monthly",EDATE(E17,1),IF(F17="Quarterly",EDATE(E17,3),IF(F17="Biannual",EDATE(E17,6),""))),"")</f>
        <v/>
      </c>
      <c r="H17" s="16"/>
      <c r="I17" s="16"/>
      <c r="J17" s="16"/>
    </row>
    <row r="18" customFormat="false" ht="15" hidden="false" customHeight="true" outlineLevel="0" collapsed="false">
      <c r="A18" s="53" t="n">
        <v>15</v>
      </c>
      <c r="B18" s="54"/>
      <c r="C18" s="54"/>
      <c r="D18" s="54"/>
      <c r="E18" s="54"/>
      <c r="F18" s="54"/>
      <c r="G18" s="55" t="str">
        <f aca="false">IF(AND(E18&lt;&gt;"",F18&lt;&gt;""),IF(F18="Monthly",EDATE(E18,1),IF(F18="Quarterly",EDATE(E18,3),IF(F18="Biannual",EDATE(E18,6),""))),"")</f>
        <v/>
      </c>
      <c r="H18" s="54"/>
      <c r="I18" s="54"/>
      <c r="J18" s="54"/>
    </row>
    <row r="19" customFormat="false" ht="15" hidden="false" customHeight="true" outlineLevel="0" collapsed="false">
      <c r="A19" s="11" t="n">
        <v>16</v>
      </c>
      <c r="B19" s="16"/>
      <c r="C19" s="16"/>
      <c r="D19" s="16"/>
      <c r="E19" s="16"/>
      <c r="F19" s="16"/>
      <c r="G19" s="56" t="str">
        <f aca="false">IF(AND(E19&lt;&gt;"",F19&lt;&gt;""),IF(F19="Monthly",EDATE(E19,1),IF(F19="Quarterly",EDATE(E19,3),IF(F19="Biannual",EDATE(E19,6),""))),"")</f>
        <v/>
      </c>
      <c r="H19" s="16"/>
      <c r="I19" s="16"/>
      <c r="J19" s="16"/>
    </row>
    <row r="20" customFormat="false" ht="15" hidden="false" customHeight="true" outlineLevel="0" collapsed="false">
      <c r="A20" s="53" t="n">
        <v>17</v>
      </c>
      <c r="B20" s="54"/>
      <c r="C20" s="54"/>
      <c r="D20" s="54"/>
      <c r="E20" s="54"/>
      <c r="F20" s="54"/>
      <c r="G20" s="55" t="str">
        <f aca="false">IF(AND(E20&lt;&gt;"",F20&lt;&gt;""),IF(F20="Monthly",EDATE(E20,1),IF(F20="Quarterly",EDATE(E20,3),IF(F20="Biannual",EDATE(E20,6),""))),"")</f>
        <v/>
      </c>
      <c r="H20" s="54"/>
      <c r="I20" s="54"/>
      <c r="J20" s="54"/>
    </row>
    <row r="21" customFormat="false" ht="15" hidden="false" customHeight="true" outlineLevel="0" collapsed="false">
      <c r="A21" s="11" t="n">
        <v>18</v>
      </c>
      <c r="B21" s="16"/>
      <c r="C21" s="16"/>
      <c r="D21" s="16"/>
      <c r="E21" s="16"/>
      <c r="F21" s="16"/>
      <c r="G21" s="56" t="str">
        <f aca="false">IF(AND(E21&lt;&gt;"",F21&lt;&gt;""),IF(F21="Monthly",EDATE(E21,1),IF(F21="Quarterly",EDATE(E21,3),IF(F21="Biannual",EDATE(E21,6),""))),"")</f>
        <v/>
      </c>
      <c r="H21" s="16"/>
      <c r="I21" s="16"/>
      <c r="J21" s="16"/>
    </row>
    <row r="22" customFormat="false" ht="15" hidden="false" customHeight="true" outlineLevel="0" collapsed="false">
      <c r="A22" s="53" t="n">
        <v>19</v>
      </c>
      <c r="B22" s="54"/>
      <c r="C22" s="54"/>
      <c r="D22" s="54"/>
      <c r="E22" s="54"/>
      <c r="F22" s="54"/>
      <c r="G22" s="55" t="str">
        <f aca="false">IF(AND(E22&lt;&gt;"",F22&lt;&gt;""),IF(F22="Monthly",EDATE(E22,1),IF(F22="Quarterly",EDATE(E22,3),IF(F22="Biannual",EDATE(E22,6),""))),"")</f>
        <v/>
      </c>
      <c r="H22" s="54"/>
      <c r="I22" s="54"/>
      <c r="J22" s="54"/>
    </row>
    <row r="23" customFormat="false" ht="15" hidden="false" customHeight="true" outlineLevel="0" collapsed="false">
      <c r="A23" s="11" t="n">
        <v>20</v>
      </c>
      <c r="B23" s="16"/>
      <c r="C23" s="16"/>
      <c r="D23" s="16"/>
      <c r="E23" s="16"/>
      <c r="F23" s="16"/>
      <c r="G23" s="56" t="str">
        <f aca="false">IF(AND(E23&lt;&gt;"",F23&lt;&gt;""),IF(F23="Monthly",EDATE(E23,1),IF(F23="Quarterly",EDATE(E23,3),IF(F23="Biannual",EDATE(E23,6),""))),"")</f>
        <v/>
      </c>
      <c r="H23" s="16"/>
      <c r="I23" s="16"/>
      <c r="J23" s="16"/>
    </row>
    <row r="24" customFormat="false" ht="15" hidden="false" customHeight="true" outlineLevel="0" collapsed="false">
      <c r="A24" s="53" t="n">
        <v>21</v>
      </c>
      <c r="B24" s="54"/>
      <c r="C24" s="54"/>
      <c r="D24" s="54"/>
      <c r="E24" s="54"/>
      <c r="F24" s="54"/>
      <c r="G24" s="55" t="str">
        <f aca="false">IF(AND(E24&lt;&gt;"",F24&lt;&gt;""),IF(F24="Monthly",EDATE(E24,1),IF(F24="Quarterly",EDATE(E24,3),IF(F24="Biannual",EDATE(E24,6),""))),"")</f>
        <v/>
      </c>
      <c r="H24" s="54"/>
      <c r="I24" s="54"/>
      <c r="J24" s="54"/>
    </row>
    <row r="25" customFormat="false" ht="15" hidden="false" customHeight="true" outlineLevel="0" collapsed="false">
      <c r="A25" s="11" t="n">
        <v>22</v>
      </c>
      <c r="B25" s="16"/>
      <c r="C25" s="16"/>
      <c r="D25" s="16"/>
      <c r="E25" s="16"/>
      <c r="F25" s="16"/>
      <c r="G25" s="56" t="str">
        <f aca="false">IF(AND(E25&lt;&gt;"",F25&lt;&gt;""),IF(F25="Monthly",EDATE(E25,1),IF(F25="Quarterly",EDATE(E25,3),IF(F25="Biannual",EDATE(E25,6),""))),"")</f>
        <v/>
      </c>
      <c r="H25" s="16"/>
      <c r="I25" s="16"/>
      <c r="J25" s="16"/>
    </row>
    <row r="26" customFormat="false" ht="15" hidden="false" customHeight="true" outlineLevel="0" collapsed="false">
      <c r="A26" s="53" t="n">
        <v>23</v>
      </c>
      <c r="B26" s="54"/>
      <c r="C26" s="54"/>
      <c r="D26" s="54"/>
      <c r="E26" s="54"/>
      <c r="F26" s="54"/>
      <c r="G26" s="55" t="str">
        <f aca="false">IF(AND(E26&lt;&gt;"",F26&lt;&gt;""),IF(F26="Monthly",EDATE(E26,1),IF(F26="Quarterly",EDATE(E26,3),IF(F26="Biannual",EDATE(E26,6),""))),"")</f>
        <v/>
      </c>
      <c r="H26" s="54"/>
      <c r="I26" s="54"/>
      <c r="J26" s="54"/>
    </row>
    <row r="27" customFormat="false" ht="15" hidden="false" customHeight="true" outlineLevel="0" collapsed="false">
      <c r="A27" s="11" t="n">
        <v>24</v>
      </c>
      <c r="B27" s="16"/>
      <c r="C27" s="16"/>
      <c r="D27" s="16"/>
      <c r="E27" s="16"/>
      <c r="F27" s="16"/>
      <c r="G27" s="56" t="str">
        <f aca="false">IF(AND(E27&lt;&gt;"",F27&lt;&gt;""),IF(F27="Monthly",EDATE(E27,1),IF(F27="Quarterly",EDATE(E27,3),IF(F27="Biannual",EDATE(E27,6),""))),"")</f>
        <v/>
      </c>
      <c r="H27" s="16"/>
      <c r="I27" s="16"/>
      <c r="J27" s="16"/>
    </row>
    <row r="28" customFormat="false" ht="15" hidden="false" customHeight="true" outlineLevel="0" collapsed="false">
      <c r="A28" s="53" t="n">
        <v>25</v>
      </c>
      <c r="B28" s="54"/>
      <c r="C28" s="54"/>
      <c r="D28" s="54"/>
      <c r="E28" s="54"/>
      <c r="F28" s="54"/>
      <c r="G28" s="55" t="str">
        <f aca="false">IF(AND(E28&lt;&gt;"",F28&lt;&gt;""),IF(F28="Monthly",EDATE(E28,1),IF(F28="Quarterly",EDATE(E28,3),IF(F28="Biannual",EDATE(E28,6),""))),"")</f>
        <v/>
      </c>
      <c r="H28" s="54"/>
      <c r="I28" s="54"/>
      <c r="J28" s="54"/>
    </row>
    <row r="29" customFormat="false" ht="15" hidden="false" customHeight="true" outlineLevel="0" collapsed="false">
      <c r="A29" s="11" t="n">
        <v>26</v>
      </c>
      <c r="B29" s="16"/>
      <c r="C29" s="16"/>
      <c r="D29" s="16"/>
      <c r="E29" s="16"/>
      <c r="F29" s="16"/>
      <c r="G29" s="56" t="str">
        <f aca="false">IF(AND(E29&lt;&gt;"",F29&lt;&gt;""),IF(F29="Monthly",EDATE(E29,1),IF(F29="Quarterly",EDATE(E29,3),IF(F29="Biannual",EDATE(E29,6),""))),"")</f>
        <v/>
      </c>
      <c r="H29" s="16"/>
      <c r="I29" s="16"/>
      <c r="J29" s="16"/>
    </row>
    <row r="30" customFormat="false" ht="15" hidden="false" customHeight="true" outlineLevel="0" collapsed="false">
      <c r="A30" s="53" t="n">
        <v>27</v>
      </c>
      <c r="B30" s="54"/>
      <c r="C30" s="54"/>
      <c r="D30" s="54"/>
      <c r="E30" s="54"/>
      <c r="F30" s="54"/>
      <c r="G30" s="55" t="str">
        <f aca="false">IF(AND(E30&lt;&gt;"",F30&lt;&gt;""),IF(F30="Monthly",EDATE(E30,1),IF(F30="Quarterly",EDATE(E30,3),IF(F30="Biannual",EDATE(E30,6),""))),"")</f>
        <v/>
      </c>
      <c r="H30" s="54"/>
      <c r="I30" s="54"/>
      <c r="J30" s="54"/>
    </row>
    <row r="31" customFormat="false" ht="15" hidden="false" customHeight="true" outlineLevel="0" collapsed="false">
      <c r="A31" s="11" t="n">
        <v>28</v>
      </c>
      <c r="B31" s="16"/>
      <c r="C31" s="16"/>
      <c r="D31" s="16"/>
      <c r="E31" s="16"/>
      <c r="F31" s="16"/>
      <c r="G31" s="56" t="str">
        <f aca="false">IF(AND(E31&lt;&gt;"",F31&lt;&gt;""),IF(F31="Monthly",EDATE(E31,1),IF(F31="Quarterly",EDATE(E31,3),IF(F31="Biannual",EDATE(E31,6),""))),"")</f>
        <v/>
      </c>
      <c r="H31" s="16"/>
      <c r="I31" s="16"/>
      <c r="J31" s="16"/>
    </row>
    <row r="32" customFormat="false" ht="15" hidden="false" customHeight="true" outlineLevel="0" collapsed="false">
      <c r="A32" s="53" t="n">
        <v>29</v>
      </c>
      <c r="B32" s="54"/>
      <c r="C32" s="54"/>
      <c r="D32" s="54"/>
      <c r="E32" s="54"/>
      <c r="F32" s="54"/>
      <c r="G32" s="55" t="str">
        <f aca="false">IF(AND(E32&lt;&gt;"",F32&lt;&gt;""),IF(F32="Monthly",EDATE(E32,1),IF(F32="Quarterly",EDATE(E32,3),IF(F32="Biannual",EDATE(E32,6),""))),"")</f>
        <v/>
      </c>
      <c r="H32" s="54"/>
      <c r="I32" s="54"/>
      <c r="J32" s="54"/>
    </row>
    <row r="33" customFormat="false" ht="15" hidden="false" customHeight="true" outlineLevel="0" collapsed="false">
      <c r="A33" s="11" t="n">
        <v>30</v>
      </c>
      <c r="B33" s="16"/>
      <c r="C33" s="16"/>
      <c r="D33" s="16"/>
      <c r="E33" s="16"/>
      <c r="F33" s="16"/>
      <c r="G33" s="56" t="str">
        <f aca="false">IF(AND(E33&lt;&gt;"",F33&lt;&gt;""),IF(F33="Monthly",EDATE(E33,1),IF(F33="Quarterly",EDATE(E33,3),IF(F33="Biannual",EDATE(E33,6),""))),"")</f>
        <v/>
      </c>
      <c r="H33" s="16"/>
      <c r="I33" s="16"/>
      <c r="J33" s="16"/>
    </row>
    <row r="35" customFormat="false" ht="25.5" hidden="false" customHeight="true" outlineLevel="0" collapsed="false">
      <c r="A35" s="19" t="s">
        <v>106</v>
      </c>
      <c r="B35" s="19"/>
      <c r="C35" s="19"/>
      <c r="D35" s="19"/>
      <c r="E35" s="19"/>
      <c r="F35" s="19"/>
      <c r="G35" s="19"/>
      <c r="H35" s="19"/>
      <c r="I35" s="19"/>
      <c r="J35" s="19"/>
    </row>
    <row r="36" customFormat="false" ht="15" hidden="false" customHeight="true" outlineLevel="0" collapsed="false">
      <c r="A36" s="57" t="s">
        <v>107</v>
      </c>
      <c r="B36" s="57"/>
      <c r="C36" s="57"/>
      <c r="D36" s="57"/>
      <c r="E36" s="57"/>
      <c r="F36" s="58" t="n">
        <f aca="false">COUNTA(B4:B33)</f>
        <v>0</v>
      </c>
      <c r="G36" s="26"/>
      <c r="H36" s="26"/>
      <c r="I36" s="26"/>
      <c r="J36" s="26"/>
    </row>
    <row r="37" customFormat="false" ht="15" hidden="false" customHeight="true" outlineLevel="0" collapsed="false">
      <c r="A37" s="57" t="s">
        <v>108</v>
      </c>
      <c r="B37" s="57"/>
      <c r="C37" s="57"/>
      <c r="D37" s="57"/>
      <c r="E37" s="57"/>
      <c r="F37" s="58" t="n">
        <f aca="false">COUNTIF(D4:D33,"Good")</f>
        <v>0</v>
      </c>
      <c r="G37" s="26"/>
      <c r="H37" s="26"/>
      <c r="I37" s="26"/>
      <c r="J37" s="26"/>
    </row>
    <row r="38" customFormat="false" ht="15" hidden="false" customHeight="true" outlineLevel="0" collapsed="false">
      <c r="A38" s="57" t="s">
        <v>109</v>
      </c>
      <c r="B38" s="57"/>
      <c r="C38" s="57"/>
      <c r="D38" s="57"/>
      <c r="E38" s="57"/>
      <c r="F38" s="58" t="n">
        <f aca="false">COUNTIF(D4:D33,"Fair")</f>
        <v>0</v>
      </c>
      <c r="G38" s="26"/>
      <c r="H38" s="26"/>
      <c r="I38" s="26"/>
      <c r="J38" s="26"/>
    </row>
    <row r="39" customFormat="false" ht="15" hidden="false" customHeight="true" outlineLevel="0" collapsed="false">
      <c r="A39" s="57" t="s">
        <v>110</v>
      </c>
      <c r="B39" s="57"/>
      <c r="C39" s="57"/>
      <c r="D39" s="57"/>
      <c r="E39" s="57"/>
      <c r="F39" s="58" t="n">
        <f aca="false">COUNTIF(D4:D33,"Poor")</f>
        <v>0</v>
      </c>
      <c r="G39" s="26"/>
      <c r="H39" s="26"/>
      <c r="I39" s="26"/>
      <c r="J39" s="26"/>
    </row>
    <row r="40" customFormat="false" ht="15" hidden="false" customHeight="true" outlineLevel="0" collapsed="false">
      <c r="A40" s="57" t="s">
        <v>111</v>
      </c>
      <c r="B40" s="57"/>
      <c r="C40" s="57"/>
      <c r="D40" s="57"/>
      <c r="E40" s="57"/>
      <c r="F40" s="58" t="n">
        <f aca="false">COUNTIF(I4:I33,"Pass")</f>
        <v>0</v>
      </c>
      <c r="G40" s="26"/>
      <c r="H40" s="26"/>
      <c r="I40" s="26"/>
      <c r="J40" s="26"/>
    </row>
    <row r="41" customFormat="false" ht="15" hidden="false" customHeight="true" outlineLevel="0" collapsed="false">
      <c r="A41" s="57" t="s">
        <v>112</v>
      </c>
      <c r="B41" s="57"/>
      <c r="C41" s="57"/>
      <c r="D41" s="57"/>
      <c r="E41" s="57"/>
      <c r="F41" s="58" t="n">
        <f aca="false">COUNTIF(I4:I33,"Fail")</f>
        <v>0</v>
      </c>
      <c r="G41" s="26"/>
      <c r="H41" s="26"/>
      <c r="I41" s="26"/>
      <c r="J41" s="26"/>
    </row>
  </sheetData>
  <mergeCells count="9">
    <mergeCell ref="A1:J1"/>
    <mergeCell ref="A2:J2"/>
    <mergeCell ref="A35:J35"/>
    <mergeCell ref="A36:E36"/>
    <mergeCell ref="A37:E37"/>
    <mergeCell ref="A38:E38"/>
    <mergeCell ref="A39:E39"/>
    <mergeCell ref="A40:E40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38"/>
    <col collapsed="false" customWidth="true" hidden="false" outlineLevel="0" max="5" min="4" style="1" width="18"/>
    <col collapsed="false" customWidth="true" hidden="false" outlineLevel="0" max="6" min="6" style="1" width="22"/>
    <col collapsed="false" customWidth="true" hidden="false" outlineLevel="0" max="7" min="7" style="1" width="14"/>
  </cols>
  <sheetData>
    <row r="1" customFormat="false" ht="33.75" hidden="false" customHeight="true" outlineLevel="0" collapsed="false">
      <c r="A1" s="34" t="s">
        <v>113</v>
      </c>
      <c r="B1" s="34"/>
      <c r="C1" s="34"/>
      <c r="D1" s="34"/>
      <c r="E1" s="34"/>
      <c r="F1" s="34"/>
      <c r="G1" s="34"/>
    </row>
    <row r="2" customFormat="false" ht="25.5" hidden="false" customHeight="true" outlineLevel="0" collapsed="false">
      <c r="A2" s="35" t="s">
        <v>114</v>
      </c>
      <c r="B2" s="35"/>
      <c r="C2" s="35"/>
      <c r="D2" s="35"/>
      <c r="E2" s="35"/>
      <c r="F2" s="35"/>
      <c r="G2" s="35"/>
    </row>
    <row r="3" customFormat="false" ht="23.25" hidden="false" customHeight="true" outlineLevel="0" collapsed="false">
      <c r="A3" s="36" t="s">
        <v>115</v>
      </c>
      <c r="B3" s="36" t="s">
        <v>116</v>
      </c>
      <c r="C3" s="36" t="s">
        <v>117</v>
      </c>
      <c r="D3" s="36" t="s">
        <v>118</v>
      </c>
      <c r="E3" s="36" t="s">
        <v>119</v>
      </c>
      <c r="F3" s="36" t="s">
        <v>120</v>
      </c>
      <c r="G3" s="36" t="s">
        <v>121</v>
      </c>
    </row>
    <row r="4" customFormat="false" ht="30" hidden="false" customHeight="true" outlineLevel="0" collapsed="false">
      <c r="A4" s="5" t="n">
        <v>1</v>
      </c>
      <c r="B4" s="6" t="s">
        <v>122</v>
      </c>
      <c r="C4" s="38" t="s">
        <v>123</v>
      </c>
      <c r="D4" s="10"/>
      <c r="E4" s="10"/>
      <c r="F4" s="10"/>
      <c r="G4" s="10"/>
    </row>
    <row r="5" customFormat="false" ht="30" hidden="false" customHeight="true" outlineLevel="0" collapsed="false">
      <c r="A5" s="11" t="n">
        <v>2</v>
      </c>
      <c r="B5" s="12" t="s">
        <v>124</v>
      </c>
      <c r="C5" s="40" t="s">
        <v>125</v>
      </c>
      <c r="D5" s="16"/>
      <c r="E5" s="16"/>
      <c r="F5" s="16"/>
      <c r="G5" s="16"/>
    </row>
    <row r="6" customFormat="false" ht="30" hidden="false" customHeight="true" outlineLevel="0" collapsed="false">
      <c r="A6" s="5" t="n">
        <v>3</v>
      </c>
      <c r="B6" s="6" t="s">
        <v>126</v>
      </c>
      <c r="C6" s="38" t="s">
        <v>127</v>
      </c>
      <c r="D6" s="10"/>
      <c r="E6" s="10"/>
      <c r="F6" s="10"/>
      <c r="G6" s="10"/>
    </row>
    <row r="7" customFormat="false" ht="30" hidden="false" customHeight="true" outlineLevel="0" collapsed="false">
      <c r="A7" s="11" t="n">
        <v>4</v>
      </c>
      <c r="B7" s="12" t="s">
        <v>128</v>
      </c>
      <c r="C7" s="40" t="s">
        <v>129</v>
      </c>
      <c r="D7" s="16"/>
      <c r="E7" s="16"/>
      <c r="F7" s="16"/>
      <c r="G7" s="16"/>
    </row>
    <row r="8" customFormat="false" ht="30" hidden="false" customHeight="true" outlineLevel="0" collapsed="false">
      <c r="A8" s="5" t="n">
        <v>5</v>
      </c>
      <c r="B8" s="6" t="s">
        <v>130</v>
      </c>
      <c r="C8" s="38" t="s">
        <v>131</v>
      </c>
      <c r="D8" s="10"/>
      <c r="E8" s="10"/>
      <c r="F8" s="10"/>
      <c r="G8" s="10"/>
    </row>
    <row r="9" customFormat="false" ht="30" hidden="false" customHeight="true" outlineLevel="0" collapsed="false">
      <c r="A9" s="11" t="n">
        <v>6</v>
      </c>
      <c r="B9" s="12" t="s">
        <v>132</v>
      </c>
      <c r="C9" s="40" t="s">
        <v>133</v>
      </c>
      <c r="D9" s="16"/>
      <c r="E9" s="16"/>
      <c r="F9" s="16"/>
      <c r="G9" s="16"/>
    </row>
    <row r="10" customFormat="false" ht="30" hidden="false" customHeight="true" outlineLevel="0" collapsed="false">
      <c r="A10" s="5" t="n">
        <v>7</v>
      </c>
      <c r="B10" s="6" t="s">
        <v>134</v>
      </c>
      <c r="C10" s="38" t="s">
        <v>135</v>
      </c>
      <c r="D10" s="10"/>
      <c r="E10" s="10"/>
      <c r="F10" s="10"/>
      <c r="G10" s="10"/>
    </row>
    <row r="11" customFormat="false" ht="30" hidden="false" customHeight="true" outlineLevel="0" collapsed="false">
      <c r="A11" s="11" t="n">
        <v>8</v>
      </c>
      <c r="B11" s="12" t="s">
        <v>136</v>
      </c>
      <c r="C11" s="40" t="s">
        <v>137</v>
      </c>
      <c r="D11" s="16"/>
      <c r="E11" s="16"/>
      <c r="F11" s="16"/>
      <c r="G11" s="16"/>
    </row>
    <row r="12" customFormat="false" ht="30" hidden="false" customHeight="true" outlineLevel="0" collapsed="false">
      <c r="A12" s="5" t="n">
        <v>9</v>
      </c>
      <c r="B12" s="6" t="s">
        <v>138</v>
      </c>
      <c r="C12" s="38" t="s">
        <v>139</v>
      </c>
      <c r="D12" s="10"/>
      <c r="E12" s="10"/>
      <c r="F12" s="10"/>
      <c r="G12" s="10"/>
    </row>
    <row r="13" customFormat="false" ht="30" hidden="false" customHeight="true" outlineLevel="0" collapsed="false">
      <c r="A13" s="11" t="n">
        <v>10</v>
      </c>
      <c r="B13" s="12" t="s">
        <v>140</v>
      </c>
      <c r="C13" s="40" t="s">
        <v>141</v>
      </c>
      <c r="D13" s="16"/>
      <c r="E13" s="16"/>
      <c r="F13" s="16"/>
      <c r="G13" s="16"/>
    </row>
    <row r="14" customFormat="false" ht="30" hidden="false" customHeight="true" outlineLevel="0" collapsed="false">
      <c r="A14" s="5" t="n">
        <v>11</v>
      </c>
      <c r="B14" s="6" t="s">
        <v>142</v>
      </c>
      <c r="C14" s="38" t="s">
        <v>143</v>
      </c>
      <c r="D14" s="10"/>
      <c r="E14" s="10"/>
      <c r="F14" s="10"/>
      <c r="G14" s="10"/>
    </row>
    <row r="15" customFormat="false" ht="30" hidden="false" customHeight="true" outlineLevel="0" collapsed="false">
      <c r="A15" s="11" t="n">
        <v>12</v>
      </c>
      <c r="B15" s="12" t="s">
        <v>144</v>
      </c>
      <c r="C15" s="40" t="s">
        <v>145</v>
      </c>
      <c r="D15" s="16"/>
      <c r="E15" s="16"/>
      <c r="F15" s="16"/>
      <c r="G15" s="16"/>
    </row>
    <row r="17" customFormat="false" ht="25.5" hidden="false" customHeight="true" outlineLevel="0" collapsed="false">
      <c r="A17" s="19" t="s">
        <v>146</v>
      </c>
      <c r="B17" s="19"/>
      <c r="C17" s="19"/>
      <c r="D17" s="19"/>
      <c r="E17" s="19"/>
      <c r="F17" s="19"/>
      <c r="G17" s="19"/>
    </row>
    <row r="18" customFormat="false" ht="15" hidden="false" customHeight="true" outlineLevel="0" collapsed="false">
      <c r="A18" s="57" t="s">
        <v>147</v>
      </c>
      <c r="B18" s="57"/>
      <c r="C18" s="57"/>
      <c r="D18" s="59" t="n">
        <f aca="false">COUNTIF(D4:D15,"Y")</f>
        <v>0</v>
      </c>
      <c r="E18" s="26"/>
      <c r="F18" s="26"/>
      <c r="G18" s="26"/>
    </row>
    <row r="19" customFormat="false" ht="15" hidden="false" customHeight="true" outlineLevel="0" collapsed="false">
      <c r="A19" s="57" t="s">
        <v>148</v>
      </c>
      <c r="B19" s="57"/>
      <c r="C19" s="57"/>
      <c r="D19" s="59" t="n">
        <f aca="false">COUNTIF(D4:D15,"N")</f>
        <v>0</v>
      </c>
      <c r="E19" s="26"/>
      <c r="F19" s="26"/>
      <c r="G19" s="26"/>
    </row>
    <row r="20" customFormat="false" ht="15" hidden="false" customHeight="true" outlineLevel="0" collapsed="false">
      <c r="A20" s="57" t="s">
        <v>149</v>
      </c>
      <c r="B20" s="57"/>
      <c r="C20" s="57"/>
      <c r="D20" s="60" t="n">
        <f aca="false">IF(COUNTA(D4:D15)&gt;0,COUNTIF(D4:D15,"Y")/COUNTA(D4:D15)*100,0)</f>
        <v>0</v>
      </c>
      <c r="E20" s="26"/>
      <c r="F20" s="26"/>
      <c r="G20" s="26"/>
    </row>
    <row r="21" customFormat="false" ht="15" hidden="false" customHeight="true" outlineLevel="0" collapsed="false">
      <c r="A21" s="57" t="s">
        <v>150</v>
      </c>
      <c r="B21" s="57"/>
      <c r="C21" s="57"/>
      <c r="D21" s="59" t="n">
        <f aca="false">SUM(F4:F15)</f>
        <v>0</v>
      </c>
      <c r="E21" s="26"/>
      <c r="F21" s="26"/>
      <c r="G21" s="26"/>
    </row>
  </sheetData>
  <mergeCells count="7">
    <mergeCell ref="A1:G1"/>
    <mergeCell ref="A2:G2"/>
    <mergeCell ref="A17:G17"/>
    <mergeCell ref="A18:C18"/>
    <mergeCell ref="A19:C19"/>
    <mergeCell ref="A20:C20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10" min="4" style="1" width="18"/>
    <col collapsed="false" customWidth="true" hidden="false" outlineLevel="0" max="11" min="11" style="1" width="14"/>
  </cols>
  <sheetData>
    <row r="1" customFormat="false" ht="33.75" hidden="false" customHeight="true" outlineLevel="0" collapsed="false">
      <c r="A1" s="2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5.5" hidden="false" customHeight="true" outlineLevel="0" collapsed="false">
      <c r="A2" s="3" t="s">
        <v>152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2</v>
      </c>
      <c r="B3" s="4" t="s">
        <v>54</v>
      </c>
      <c r="C3" s="4" t="s">
        <v>56</v>
      </c>
      <c r="D3" s="4" t="s">
        <v>153</v>
      </c>
      <c r="E3" s="4" t="s">
        <v>154</v>
      </c>
      <c r="F3" s="4" t="s">
        <v>155</v>
      </c>
      <c r="G3" s="4" t="s">
        <v>156</v>
      </c>
      <c r="H3" s="4" t="s">
        <v>157</v>
      </c>
      <c r="I3" s="4" t="s">
        <v>158</v>
      </c>
      <c r="J3" s="4" t="s">
        <v>159</v>
      </c>
      <c r="K3" s="4" t="s">
        <v>160</v>
      </c>
    </row>
    <row r="4" customFormat="false" ht="15" hidden="false" customHeight="true" outlineLevel="0" collapsed="false">
      <c r="A4" s="5" t="n">
        <v>1</v>
      </c>
      <c r="B4" s="6" t="s">
        <v>161</v>
      </c>
      <c r="C4" s="10"/>
      <c r="D4" s="10"/>
      <c r="E4" s="10"/>
      <c r="F4" s="10"/>
      <c r="G4" s="10"/>
      <c r="H4" s="10"/>
      <c r="I4" s="61" t="n">
        <f aca="false">IF(AND(D4&gt;0,H4&gt;0),H4-D4,0)</f>
        <v>0</v>
      </c>
      <c r="J4" s="62" t="n">
        <f aca="false">IFERROR(IF(D4&gt;0,(H4-D4)/D4*100,0),0)</f>
        <v>0</v>
      </c>
      <c r="K4" s="42" t="str">
        <f aca="false">IF(I4&gt;0,"Improving",IF(I4=0,"Stable","Declining"))</f>
        <v>Stable</v>
      </c>
    </row>
    <row r="5" customFormat="false" ht="15" hidden="false" customHeight="true" outlineLevel="0" collapsed="false">
      <c r="A5" s="11" t="n">
        <v>2</v>
      </c>
      <c r="B5" s="12" t="s">
        <v>162</v>
      </c>
      <c r="C5" s="16"/>
      <c r="D5" s="16"/>
      <c r="E5" s="16"/>
      <c r="F5" s="16"/>
      <c r="G5" s="16"/>
      <c r="H5" s="16"/>
      <c r="I5" s="44" t="n">
        <f aca="false">IF(AND(D5&gt;0,H5&gt;0),H5-D5,0)</f>
        <v>0</v>
      </c>
      <c r="J5" s="63" t="n">
        <f aca="false">IFERROR(IF(D5&gt;0,(H5-D5)/D5*100,0),0)</f>
        <v>0</v>
      </c>
      <c r="K5" s="41" t="str">
        <f aca="false">IF(I5&gt;0,"Improving",IF(I5=0,"Stable","Declining"))</f>
        <v>Stable</v>
      </c>
    </row>
    <row r="6" customFormat="false" ht="15" hidden="false" customHeight="true" outlineLevel="0" collapsed="false">
      <c r="A6" s="5" t="n">
        <v>3</v>
      </c>
      <c r="B6" s="6" t="s">
        <v>163</v>
      </c>
      <c r="C6" s="10"/>
      <c r="D6" s="10"/>
      <c r="E6" s="10"/>
      <c r="F6" s="10"/>
      <c r="G6" s="10"/>
      <c r="H6" s="10"/>
      <c r="I6" s="61" t="n">
        <f aca="false">IF(AND(D6&gt;0,H6&gt;0),H6-D6,0)</f>
        <v>0</v>
      </c>
      <c r="J6" s="62" t="n">
        <f aca="false">IFERROR(IF(D6&gt;0,(H6-D6)/D6*100,0),0)</f>
        <v>0</v>
      </c>
      <c r="K6" s="42" t="str">
        <f aca="false">IF(I6&gt;0,"Improving",IF(I6=0,"Stable","Declining"))</f>
        <v>Stable</v>
      </c>
    </row>
    <row r="7" customFormat="false" ht="23.25" hidden="false" customHeight="true" outlineLevel="0" collapsed="false">
      <c r="A7" s="11" t="n">
        <v>4</v>
      </c>
      <c r="B7" s="12" t="s">
        <v>164</v>
      </c>
      <c r="C7" s="16"/>
      <c r="D7" s="16"/>
      <c r="E7" s="16"/>
      <c r="F7" s="16"/>
      <c r="G7" s="16"/>
      <c r="H7" s="16"/>
      <c r="I7" s="44" t="n">
        <f aca="false">IF(AND(D7&gt;0,H7&gt;0),H7-D7,0)</f>
        <v>0</v>
      </c>
      <c r="J7" s="63" t="n">
        <f aca="false">IFERROR(IF(D7&gt;0,(H7-D7)/D7*100,0),0)</f>
        <v>0</v>
      </c>
      <c r="K7" s="41" t="str">
        <f aca="false">IF(I7&gt;0,"Improving",IF(I7=0,"Stable","Declining"))</f>
        <v>Stable</v>
      </c>
    </row>
    <row r="8" customFormat="false" ht="15" hidden="false" customHeight="true" outlineLevel="0" collapsed="false">
      <c r="A8" s="5" t="n">
        <v>5</v>
      </c>
      <c r="B8" s="6" t="s">
        <v>94</v>
      </c>
      <c r="C8" s="10"/>
      <c r="D8" s="10"/>
      <c r="E8" s="10"/>
      <c r="F8" s="10"/>
      <c r="G8" s="10"/>
      <c r="H8" s="10"/>
      <c r="I8" s="61" t="n">
        <f aca="false">IF(AND(D8&gt;0,H8&gt;0),H8-D8,0)</f>
        <v>0</v>
      </c>
      <c r="J8" s="62" t="n">
        <f aca="false">IFERROR(IF(D8&gt;0,(H8-D8)/D8*100,0),0)</f>
        <v>0</v>
      </c>
      <c r="K8" s="42" t="str">
        <f aca="false">IF(I8&gt;0,"Improving",IF(I8=0,"Stable","Declining"))</f>
        <v>Stable</v>
      </c>
    </row>
    <row r="9" customFormat="false" ht="15" hidden="false" customHeight="true" outlineLevel="0" collapsed="false">
      <c r="A9" s="11" t="n">
        <v>6</v>
      </c>
      <c r="B9" s="12" t="s">
        <v>165</v>
      </c>
      <c r="C9" s="16"/>
      <c r="D9" s="16"/>
      <c r="E9" s="16"/>
      <c r="F9" s="16"/>
      <c r="G9" s="16"/>
      <c r="H9" s="16"/>
      <c r="I9" s="44" t="n">
        <f aca="false">IF(AND(D9&gt;0,H9&gt;0),H9-D9,0)</f>
        <v>0</v>
      </c>
      <c r="J9" s="63" t="n">
        <f aca="false">IFERROR(IF(D9&gt;0,(H9-D9)/D9*100,0),0)</f>
        <v>0</v>
      </c>
      <c r="K9" s="41" t="str">
        <f aca="false">IF(I9&gt;0,"Improving",IF(I9=0,"Stable","Declining"))</f>
        <v>Stable</v>
      </c>
    </row>
    <row r="10" customFormat="false" ht="23.25" hidden="false" customHeight="true" outlineLevel="0" collapsed="false">
      <c r="A10" s="5" t="n">
        <v>7</v>
      </c>
      <c r="B10" s="6" t="s">
        <v>166</v>
      </c>
      <c r="C10" s="10"/>
      <c r="D10" s="10"/>
      <c r="E10" s="10"/>
      <c r="F10" s="10"/>
      <c r="G10" s="10"/>
      <c r="H10" s="10"/>
      <c r="I10" s="61" t="n">
        <f aca="false">IF(AND(D10&gt;0,H10&gt;0),H10-D10,0)</f>
        <v>0</v>
      </c>
      <c r="J10" s="62" t="n">
        <f aca="false">IFERROR(IF(D10&gt;0,(H10-D10)/D10*100,0),0)</f>
        <v>0</v>
      </c>
      <c r="K10" s="42" t="str">
        <f aca="false">IF(I10&gt;0,"Improving",IF(I10=0,"Stable","Declining"))</f>
        <v>Stable</v>
      </c>
    </row>
    <row r="11" customFormat="false" ht="23.25" hidden="false" customHeight="true" outlineLevel="0" collapsed="false">
      <c r="A11" s="11" t="n">
        <v>8</v>
      </c>
      <c r="B11" s="12" t="s">
        <v>167</v>
      </c>
      <c r="C11" s="16"/>
      <c r="D11" s="16"/>
      <c r="E11" s="16"/>
      <c r="F11" s="16"/>
      <c r="G11" s="16"/>
      <c r="H11" s="16"/>
      <c r="I11" s="44" t="n">
        <f aca="false">IF(AND(D11&gt;0,H11&gt;0),H11-D11,0)</f>
        <v>0</v>
      </c>
      <c r="J11" s="63" t="n">
        <f aca="false">IFERROR(IF(D11&gt;0,(H11-D11)/D11*100,0),0)</f>
        <v>0</v>
      </c>
      <c r="K11" s="41" t="str">
        <f aca="false">IF(I11&gt;0,"Improving",IF(I11=0,"Stable","Declining"))</f>
        <v>Stable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42"/>
    <col collapsed="false" customWidth="true" hidden="false" outlineLevel="0" max="5" min="4" style="1" width="16"/>
    <col collapsed="false" customWidth="true" hidden="false" outlineLevel="0" max="6" min="6" style="1" width="22"/>
  </cols>
  <sheetData>
    <row r="1" customFormat="false" ht="33.75" hidden="false" customHeight="true" outlineLevel="0" collapsed="false">
      <c r="A1" s="64" t="s">
        <v>168</v>
      </c>
      <c r="B1" s="64"/>
      <c r="C1" s="64"/>
      <c r="D1" s="64"/>
      <c r="E1" s="64"/>
      <c r="F1" s="64"/>
    </row>
    <row r="2" customFormat="false" ht="25.5" hidden="false" customHeight="true" outlineLevel="0" collapsed="false">
      <c r="A2" s="65" t="s">
        <v>169</v>
      </c>
      <c r="B2" s="65"/>
      <c r="C2" s="65"/>
      <c r="D2" s="65"/>
      <c r="E2" s="65"/>
      <c r="F2" s="65"/>
    </row>
    <row r="3" customFormat="false" ht="15" hidden="false" customHeight="true" outlineLevel="0" collapsed="false">
      <c r="A3" s="66" t="s">
        <v>115</v>
      </c>
      <c r="B3" s="66" t="s">
        <v>170</v>
      </c>
      <c r="C3" s="66" t="s">
        <v>171</v>
      </c>
      <c r="D3" s="66" t="s">
        <v>172</v>
      </c>
      <c r="E3" s="66" t="s">
        <v>173</v>
      </c>
      <c r="F3" s="66" t="s">
        <v>174</v>
      </c>
    </row>
    <row r="4" customFormat="false" ht="31.5" hidden="false" customHeight="true" outlineLevel="0" collapsed="false">
      <c r="A4" s="53" t="n">
        <v>1</v>
      </c>
      <c r="B4" s="67" t="s">
        <v>175</v>
      </c>
      <c r="C4" s="68" t="s">
        <v>176</v>
      </c>
      <c r="D4" s="54"/>
      <c r="E4" s="54"/>
      <c r="F4" s="54"/>
    </row>
    <row r="5" customFormat="false" ht="31.5" hidden="false" customHeight="true" outlineLevel="0" collapsed="false">
      <c r="A5" s="11" t="n">
        <v>2</v>
      </c>
      <c r="B5" s="12" t="s">
        <v>177</v>
      </c>
      <c r="C5" s="40" t="s">
        <v>178</v>
      </c>
      <c r="D5" s="16"/>
      <c r="E5" s="16"/>
      <c r="F5" s="16"/>
    </row>
    <row r="6" customFormat="false" ht="31.5" hidden="false" customHeight="true" outlineLevel="0" collapsed="false">
      <c r="A6" s="53" t="n">
        <v>3</v>
      </c>
      <c r="B6" s="67" t="s">
        <v>179</v>
      </c>
      <c r="C6" s="68" t="s">
        <v>180</v>
      </c>
      <c r="D6" s="54"/>
      <c r="E6" s="54"/>
      <c r="F6" s="54"/>
    </row>
    <row r="7" customFormat="false" ht="31.5" hidden="false" customHeight="true" outlineLevel="0" collapsed="false">
      <c r="A7" s="11" t="n">
        <v>4</v>
      </c>
      <c r="B7" s="12" t="s">
        <v>181</v>
      </c>
      <c r="C7" s="40" t="s">
        <v>182</v>
      </c>
      <c r="D7" s="16"/>
      <c r="E7" s="16"/>
      <c r="F7" s="16"/>
    </row>
    <row r="8" customFormat="false" ht="31.5" hidden="false" customHeight="true" outlineLevel="0" collapsed="false">
      <c r="A8" s="53" t="n">
        <v>5</v>
      </c>
      <c r="B8" s="67" t="s">
        <v>183</v>
      </c>
      <c r="C8" s="68" t="s">
        <v>184</v>
      </c>
      <c r="D8" s="54"/>
      <c r="E8" s="54"/>
      <c r="F8" s="54"/>
    </row>
    <row r="9" customFormat="false" ht="31.5" hidden="false" customHeight="true" outlineLevel="0" collapsed="false">
      <c r="A9" s="11" t="n">
        <v>6</v>
      </c>
      <c r="B9" s="12" t="s">
        <v>185</v>
      </c>
      <c r="C9" s="40" t="s">
        <v>186</v>
      </c>
      <c r="D9" s="16"/>
      <c r="E9" s="16"/>
      <c r="F9" s="16"/>
    </row>
    <row r="10" customFormat="false" ht="31.5" hidden="false" customHeight="true" outlineLevel="0" collapsed="false">
      <c r="A10" s="53" t="n">
        <v>7</v>
      </c>
      <c r="B10" s="67" t="s">
        <v>187</v>
      </c>
      <c r="C10" s="68" t="s">
        <v>188</v>
      </c>
      <c r="D10" s="54"/>
      <c r="E10" s="54"/>
      <c r="F10" s="54"/>
    </row>
    <row r="11" customFormat="false" ht="31.5" hidden="false" customHeight="true" outlineLevel="0" collapsed="false">
      <c r="A11" s="11" t="n">
        <v>8</v>
      </c>
      <c r="B11" s="12" t="s">
        <v>189</v>
      </c>
      <c r="C11" s="40" t="s">
        <v>190</v>
      </c>
      <c r="D11" s="16"/>
      <c r="E11" s="16"/>
      <c r="F11" s="16"/>
    </row>
    <row r="12" customFormat="false" ht="31.5" hidden="false" customHeight="true" outlineLevel="0" collapsed="false">
      <c r="A12" s="53" t="n">
        <v>9</v>
      </c>
      <c r="B12" s="67" t="s">
        <v>191</v>
      </c>
      <c r="C12" s="68" t="s">
        <v>192</v>
      </c>
      <c r="D12" s="54"/>
      <c r="E12" s="54"/>
      <c r="F12" s="54"/>
    </row>
    <row r="13" customFormat="false" ht="31.5" hidden="false" customHeight="true" outlineLevel="0" collapsed="false">
      <c r="A13" s="11" t="n">
        <v>10</v>
      </c>
      <c r="B13" s="12" t="s">
        <v>193</v>
      </c>
      <c r="C13" s="40" t="s">
        <v>194</v>
      </c>
      <c r="D13" s="16"/>
      <c r="E13" s="16"/>
      <c r="F13" s="16"/>
    </row>
    <row r="14" customFormat="false" ht="31.5" hidden="false" customHeight="true" outlineLevel="0" collapsed="false">
      <c r="A14" s="53" t="n">
        <v>11</v>
      </c>
      <c r="B14" s="67" t="s">
        <v>195</v>
      </c>
      <c r="C14" s="68" t="s">
        <v>196</v>
      </c>
      <c r="D14" s="54"/>
      <c r="E14" s="54"/>
      <c r="F14" s="54"/>
    </row>
    <row r="15" customFormat="false" ht="31.5" hidden="false" customHeight="true" outlineLevel="0" collapsed="false">
      <c r="A15" s="11" t="n">
        <v>12</v>
      </c>
      <c r="B15" s="12" t="s">
        <v>197</v>
      </c>
      <c r="C15" s="40" t="s">
        <v>198</v>
      </c>
      <c r="D15" s="16"/>
      <c r="E15" s="16"/>
      <c r="F15" s="16"/>
    </row>
    <row r="16" customFormat="false" ht="31.5" hidden="false" customHeight="true" outlineLevel="0" collapsed="false">
      <c r="A16" s="53" t="n">
        <v>13</v>
      </c>
      <c r="B16" s="67" t="s">
        <v>199</v>
      </c>
      <c r="C16" s="68" t="s">
        <v>200</v>
      </c>
      <c r="D16" s="54"/>
      <c r="E16" s="54"/>
      <c r="F16" s="54"/>
    </row>
    <row r="17" customFormat="false" ht="31.5" hidden="false" customHeight="true" outlineLevel="0" collapsed="false">
      <c r="A17" s="11" t="n">
        <v>14</v>
      </c>
      <c r="B17" s="12" t="s">
        <v>201</v>
      </c>
      <c r="C17" s="40" t="s">
        <v>202</v>
      </c>
      <c r="D17" s="16"/>
      <c r="E17" s="16"/>
      <c r="F17" s="16"/>
    </row>
    <row r="18" customFormat="false" ht="31.5" hidden="false" customHeight="true" outlineLevel="0" collapsed="false">
      <c r="A18" s="53" t="n">
        <v>15</v>
      </c>
      <c r="B18" s="67" t="s">
        <v>203</v>
      </c>
      <c r="C18" s="68" t="s">
        <v>204</v>
      </c>
      <c r="D18" s="54"/>
      <c r="E18" s="54"/>
      <c r="F18" s="54"/>
    </row>
    <row r="19" customFormat="false" ht="31.5" hidden="false" customHeight="true" outlineLevel="0" collapsed="false">
      <c r="A19" s="11" t="n">
        <v>16</v>
      </c>
      <c r="B19" s="12" t="s">
        <v>205</v>
      </c>
      <c r="C19" s="40" t="s">
        <v>206</v>
      </c>
      <c r="D19" s="16"/>
      <c r="E19" s="16"/>
      <c r="F19" s="16"/>
    </row>
    <row r="20" customFormat="false" ht="31.5" hidden="false" customHeight="true" outlineLevel="0" collapsed="false">
      <c r="A20" s="53" t="n">
        <v>17</v>
      </c>
      <c r="B20" s="67" t="s">
        <v>207</v>
      </c>
      <c r="C20" s="68" t="s">
        <v>208</v>
      </c>
      <c r="D20" s="54"/>
      <c r="E20" s="54"/>
      <c r="F20" s="54"/>
    </row>
    <row r="21" customFormat="false" ht="31.5" hidden="false" customHeight="true" outlineLevel="0" collapsed="false">
      <c r="A21" s="11" t="n">
        <v>18</v>
      </c>
      <c r="B21" s="12" t="s">
        <v>209</v>
      </c>
      <c r="C21" s="40" t="s">
        <v>210</v>
      </c>
      <c r="D21" s="16"/>
      <c r="E21" s="16"/>
      <c r="F21" s="16"/>
    </row>
    <row r="22" customFormat="false" ht="31.5" hidden="false" customHeight="true" outlineLevel="0" collapsed="false">
      <c r="A22" s="53" t="n">
        <v>19</v>
      </c>
      <c r="B22" s="67" t="s">
        <v>211</v>
      </c>
      <c r="C22" s="68" t="s">
        <v>212</v>
      </c>
      <c r="D22" s="54"/>
      <c r="E22" s="54"/>
      <c r="F22" s="54"/>
    </row>
    <row r="23" customFormat="false" ht="31.5" hidden="false" customHeight="true" outlineLevel="0" collapsed="false">
      <c r="A23" s="11" t="n">
        <v>20</v>
      </c>
      <c r="B23" s="12" t="s">
        <v>213</v>
      </c>
      <c r="C23" s="40" t="s">
        <v>214</v>
      </c>
      <c r="D23" s="16"/>
      <c r="E23" s="16"/>
      <c r="F23" s="16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2026-06-01T08:53:51Z</dcterms:created>
  <dc:creator>openpyxl</dc:creator>
  <dc:description/>
  <dc:language>en-US</dc:language>
  <cp:lastModifiedBy/>
  <dcterms:modified xsi:type="dcterms:W3CDTF">2026-06-01T08:54:21Z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