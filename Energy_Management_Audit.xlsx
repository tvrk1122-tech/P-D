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. General Energy" sheetId="1" state="visible" r:id="rId3"/>
    <sheet name="B. Lighting" sheetId="2" state="visible" r:id="rId4"/>
    <sheet name="C. Fans AC Heating" sheetId="3" state="visible" r:id="rId5"/>
    <sheet name="D. ICT &amp; Office" sheetId="4" state="visible" r:id="rId6"/>
    <sheet name="E. Laboratory" sheetId="5" state="visible" r:id="rId7"/>
    <sheet name="F. Alt Energy &amp; Conservation" sheetId="6" state="visible" r:id="rId8"/>
    <sheet name="G. Waste &amp; By-products" sheetId="7" state="visible" r:id="rId9"/>
    <sheet name="H. Energy Dashboard" sheetId="8" state="visible" r:id="rId10"/>
    <sheet name="I. Audit Checklis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<sst xmlns="http://schemas.openxmlformats.org/spreadsheetml/2006/main" count="217" uniqueCount="187">
  <si>
    <t xml:space="preserve">Energy Management Audit — Section A: General Energy Use &amp; Configuration</t>
  </si>
  <si>
    <t xml:space="preserve">Reporting period, tariffs, department-wise energy spend | Yellow = Input | Grey = Auto</t>
  </si>
  <si>
    <t xml:space="preserve">Audit Configuration (Used Across All Sheets)</t>
  </si>
  <si>
    <t xml:space="preserve">Parameter</t>
  </si>
  <si>
    <t xml:space="preserve">Value</t>
  </si>
  <si>
    <t xml:space="preserve">Unit</t>
  </si>
  <si>
    <t xml:space="preserve">Notes</t>
  </si>
  <si>
    <t xml:space="preserve">Reporting Period (Month/Year)</t>
  </si>
  <si>
    <t xml:space="preserve">Enter e.g. January 2025</t>
  </si>
  <si>
    <t xml:space="preserve">Electricity Tariff</t>
  </si>
  <si>
    <t xml:space="preserve">Rs/kWh</t>
  </si>
  <si>
    <t xml:space="preserve">Apply to all sheets</t>
  </si>
  <si>
    <t xml:space="preserve">Diesel Tariff</t>
  </si>
  <si>
    <t xml:space="preserve">Rs/litre</t>
  </si>
  <si>
    <t xml:space="preserve">Generator fuel</t>
  </si>
  <si>
    <t xml:space="preserve">LPG Tariff</t>
  </si>
  <si>
    <t xml:space="preserve">Rs/cylinder (19 kg)</t>
  </si>
  <si>
    <t xml:space="preserve">Canteen/hostel</t>
  </si>
  <si>
    <t xml:space="preserve">Firewood Tariff</t>
  </si>
  <si>
    <t xml:space="preserve">Rs/kg</t>
  </si>
  <si>
    <t xml:space="preserve">If applicable</t>
  </si>
  <si>
    <t xml:space="preserve">Institution Name</t>
  </si>
  <si>
    <t xml:space="preserve">Audit Conducted By</t>
  </si>
  <si>
    <t xml:space="preserve">Audit Date</t>
  </si>
  <si>
    <t xml:space="preserve">Department / Unit-Wise Energy Spend (Q1–Q7)</t>
  </si>
  <si>
    <t xml:space="preserve">S.No.</t>
  </si>
  <si>
    <t xml:space="preserve">Department / Unit</t>
  </si>
  <si>
    <t xml:space="preserve">Energy Types in Use</t>
  </si>
  <si>
    <t xml:space="preserve">Electricity Bill 12-mo (Rs)</t>
  </si>
  <si>
    <t xml:space="preserve">LPG Spend 12-mo (Rs)</t>
  </si>
  <si>
    <t xml:space="preserve">Firewood/Month (kg)</t>
  </si>
  <si>
    <t xml:space="preserve">Firewood Spend/mo (Rs)</t>
  </si>
  <si>
    <t xml:space="preserve">Generator Fuel Annual (Rs)</t>
  </si>
  <si>
    <t xml:space="preserve">Avg Monthly Spend (Rs) [AUTO]</t>
  </si>
  <si>
    <t xml:space="preserve">Energy-Saving Methods? (Y/N)</t>
  </si>
  <si>
    <t xml:space="preserve">TOTALS</t>
  </si>
  <si>
    <t xml:space="preserve">Section B — Lighting Systems (CFL / LED / Incandescent / Streetlight)</t>
  </si>
  <si>
    <t xml:space="preserve">kWh = (Power_W x Qty x Hours/day x Days/month) / 1000 | Cost = kWh x Tariff</t>
  </si>
  <si>
    <t xml:space="preserve">Location / Building</t>
  </si>
  <si>
    <t xml:space="preserve">Type (CFL / LED / Incandescent / Tube / Streetlight)</t>
  </si>
  <si>
    <t xml:space="preserve">Power (W)</t>
  </si>
  <si>
    <t xml:space="preserve">Quantity</t>
  </si>
  <si>
    <t xml:space="preserve">Hours/Day</t>
  </si>
  <si>
    <t xml:space="preserve">Days/Month</t>
  </si>
  <si>
    <t xml:space="preserve">Energy (kWh/Month) [AUTO]</t>
  </si>
  <si>
    <t xml:space="preserve">Cost (Rs/Month) [AUTO]</t>
  </si>
  <si>
    <t xml:space="preserve">Lighting Summary</t>
  </si>
  <si>
    <t xml:space="preserve">TOTAL LIGHTING</t>
  </si>
  <si>
    <t xml:space="preserve">Type-Wise Breakdown</t>
  </si>
  <si>
    <t xml:space="preserve">LED</t>
  </si>
  <si>
    <t xml:space="preserve">CFL</t>
  </si>
  <si>
    <t xml:space="preserve">Incandescent</t>
  </si>
  <si>
    <t xml:space="preserve">Tube</t>
  </si>
  <si>
    <t xml:space="preserve">Streetlight</t>
  </si>
  <si>
    <t xml:space="preserve">LED Transition % (of total fixtures)</t>
  </si>
  <si>
    <t xml:space="preserve">Section C — Fans, Cooling &amp; Heating Systems</t>
  </si>
  <si>
    <t xml:space="preserve">kWh = (W x Qty x Hr/day x Days/mo) / 1000 | Fans, ACs, Coolers, Heaters</t>
  </si>
  <si>
    <t xml:space="preserve">Location</t>
  </si>
  <si>
    <t xml:space="preserve">Type (Fan / AC / Water Cooler / Refrigerator / Heater)</t>
  </si>
  <si>
    <t xml:space="preserve">Energy (kWh/Mo) [AUTO]</t>
  </si>
  <si>
    <t xml:space="preserve">Cost (Rs/Mo) [AUTO]</t>
  </si>
  <si>
    <t xml:space="preserve">Star Rating / Set Temp / Notes</t>
  </si>
  <si>
    <t xml:space="preserve">Section C Totals</t>
  </si>
  <si>
    <t xml:space="preserve">TOTAL FANS/AC/HEATING</t>
  </si>
  <si>
    <t xml:space="preserve">Fan</t>
  </si>
  <si>
    <t xml:space="preserve">AC</t>
  </si>
  <si>
    <t xml:space="preserve">Water Cooler</t>
  </si>
  <si>
    <t xml:space="preserve">Refrigerator</t>
  </si>
  <si>
    <t xml:space="preserve">Heater</t>
  </si>
  <si>
    <t xml:space="preserve">Section D — ICT and Office Equipment</t>
  </si>
  <si>
    <t xml:space="preserve">Computers, Printers, Photocopiers, Projectors, TVs, Inverters + Standby &amp; Power-Save Mode</t>
  </si>
  <si>
    <t xml:space="preserve">Location / Dept</t>
  </si>
  <si>
    <t xml:space="preserve">Type (Computer / Printer / Photocopier / Projector / TV / Inverter / Other)</t>
  </si>
  <si>
    <t xml:space="preserve">Standby Hr/Day</t>
  </si>
  <si>
    <t xml:space="preserve">Power-Save Mode (Y/N)</t>
  </si>
  <si>
    <t xml:space="preserve">Section D Totals</t>
  </si>
  <si>
    <t xml:space="preserve">TOTAL ICT &amp; OFFICE</t>
  </si>
  <si>
    <t xml:space="preserve">Section E — Laboratory Equipment Energy Consumption</t>
  </si>
  <si>
    <t xml:space="preserve">All lab instruments: microscopes, centrifuges, ovens, spectrophotometers, etc.</t>
  </si>
  <si>
    <t xml:space="preserve">Lab Name</t>
  </si>
  <si>
    <t xml:space="preserve">Equipment</t>
  </si>
  <si>
    <t xml:space="preserve">Section E Totals</t>
  </si>
  <si>
    <t xml:space="preserve">TOTAL LABORATORY</t>
  </si>
  <si>
    <t xml:space="preserve">Section F — Alternative Energy Sources &amp; Conservation Practices</t>
  </si>
  <si>
    <t xml:space="preserve">Solar, Wind, Biogas, Energy-Efficient Stoves + Switch-Off Drills + Power-Save + Awareness</t>
  </si>
  <si>
    <t xml:space="preserve">Type (Solar PV / Solar Water / Wind / Biogas / Other)</t>
  </si>
  <si>
    <t xml:space="preserve">Capacity (kW or LPD)</t>
  </si>
  <si>
    <t xml:space="preserve">Monthly Generation (kWh)</t>
  </si>
  <si>
    <t xml:space="preserve">Diesel Saved (L/Mo)</t>
  </si>
  <si>
    <t xml:space="preserve">LPG Saved (kg/Mo)</t>
  </si>
  <si>
    <t xml:space="preserve">Equiv. Cost Saved (Rs/Mo) [AUTO]</t>
  </si>
  <si>
    <t xml:space="preserve">Switch-Off Drills? (Y/N)</t>
  </si>
  <si>
    <t xml:space="preserve">Power-Save Mode? (Y/N)</t>
  </si>
  <si>
    <t xml:space="preserve">Avg Standby Hr/Day</t>
  </si>
  <si>
    <t xml:space="preserve">Awareness Boards Count</t>
  </si>
  <si>
    <t xml:space="preserve">Section F Totals</t>
  </si>
  <si>
    <t xml:space="preserve">TOTAL ALT ENERGY</t>
  </si>
  <si>
    <t xml:space="preserve">Section G — Waste &amp; By-Products (Ash, Biomass Residue)</t>
  </si>
  <si>
    <t xml:space="preserve">Firewood ash, waste-to-energy links | For context alongside energy audit</t>
  </si>
  <si>
    <t xml:space="preserve">Source (Canteen / Boiler / Other)</t>
  </si>
  <si>
    <t xml:space="preserve">Ash per Day (kg)</t>
  </si>
  <si>
    <t xml:space="preserve">Monthly Ash (kg) [AUTO]</t>
  </si>
  <si>
    <t xml:space="preserve">Disposal Method / Notes</t>
  </si>
  <si>
    <t xml:space="preserve">TOTAL ASH / MONTH (kg)</t>
  </si>
  <si>
    <t xml:space="preserve">ENERGY AUDIT DASHBOARD — Auto-Calculated Summary Across All Sections</t>
  </si>
  <si>
    <t xml:space="preserve">All values auto-linked from Section A–G sheets | Net consumption + cost + renewable offset</t>
  </si>
  <si>
    <t xml:space="preserve">Category</t>
  </si>
  <si>
    <t xml:space="preserve">kWh / Month</t>
  </si>
  <si>
    <t xml:space="preserve">Cost (Rs/Month)</t>
  </si>
  <si>
    <t xml:space="preserve">% of Total kWh</t>
  </si>
  <si>
    <t xml:space="preserve">% of Total Cost</t>
  </si>
  <si>
    <t xml:space="preserve">B — Lighting</t>
  </si>
  <si>
    <t xml:space="preserve">Section B total</t>
  </si>
  <si>
    <t xml:space="preserve">C — Fans / AC / Heating</t>
  </si>
  <si>
    <t xml:space="preserve">Section C total</t>
  </si>
  <si>
    <t xml:space="preserve">D — ICT &amp; Office Equipment</t>
  </si>
  <si>
    <t xml:space="preserve">Section D total</t>
  </si>
  <si>
    <t xml:space="preserve">E — Laboratory Equipment</t>
  </si>
  <si>
    <t xml:space="preserve">Section E total</t>
  </si>
  <si>
    <t xml:space="preserve">F — Alt Energy Savings (kWh equiv.)</t>
  </si>
  <si>
    <t xml:space="preserve">Generation + savings</t>
  </si>
  <si>
    <t xml:space="preserve">G — Waste / By-products (kg ash/mo)</t>
  </si>
  <si>
    <t xml:space="preserve">Not energy; for context</t>
  </si>
  <si>
    <t xml:space="preserve">GROSS ELECTRICITY (kWh/Month) — Sections B+C+D+E</t>
  </si>
  <si>
    <t xml:space="preserve">NET ELECTRICITY (Gross − Solar/Alt Generation)</t>
  </si>
  <si>
    <t xml:space="preserve">Renewable Offset (% of Gross)</t>
  </si>
  <si>
    <t xml:space="preserve">Key Energy Observations (Auto-Populated from Sections)</t>
  </si>
  <si>
    <t xml:space="preserve">Total Lighting Fixtures</t>
  </si>
  <si>
    <t xml:space="preserve">Nos.</t>
  </si>
  <si>
    <t xml:space="preserve">LED Transition %</t>
  </si>
  <si>
    <t xml:space="preserve">%</t>
  </si>
  <si>
    <t xml:space="preserve">Total Fans</t>
  </si>
  <si>
    <t xml:space="preserve">Total ACs</t>
  </si>
  <si>
    <t xml:space="preserve">Total Computers</t>
  </si>
  <si>
    <t xml:space="preserve">Nos. (all ICT)</t>
  </si>
  <si>
    <t xml:space="preserve">Solar / Alt Generation (kWh/mo)</t>
  </si>
  <si>
    <t xml:space="preserve">kWh</t>
  </si>
  <si>
    <t xml:space="preserve">Monthly Ash Generated (kg)</t>
  </si>
  <si>
    <t xml:space="preserve">kg</t>
  </si>
  <si>
    <t xml:space="preserve">Energy Audit — Compliance Checklist &amp; Future Suggestions (NAAC / Green Audit)</t>
  </si>
  <si>
    <t xml:space="preserve">Sections A–H evidence + conservation practices + future planning</t>
  </si>
  <si>
    <t xml:space="preserve">#</t>
  </si>
  <si>
    <t xml:space="preserve">Audit Item</t>
  </si>
  <si>
    <t xml:space="preserve">Requirement / Description</t>
  </si>
  <si>
    <t xml:space="preserve">Status (Y/X/IP)</t>
  </si>
  <si>
    <t xml:space="preserve">Date</t>
  </si>
  <si>
    <t xml:space="preserve">Reviewer</t>
  </si>
  <si>
    <t xml:space="preserve">General energy data complete</t>
  </si>
  <si>
    <t xml:space="preserve">All energy types listed; 12-month bills, LPG, firewood, generator fuel documented</t>
  </si>
  <si>
    <t xml:space="preserve">Tariffs configured</t>
  </si>
  <si>
    <t xml:space="preserve">Electricity (Rs/kWh), diesel, LPG tariffs entered in Config sheet</t>
  </si>
  <si>
    <t xml:space="preserve">Lighting inventory complete</t>
  </si>
  <si>
    <t xml:space="preserve">All CFL/LED/incandescent/tube/streetlights with W, qty, hours, days entered</t>
  </si>
  <si>
    <t xml:space="preserve">LED transition % calculated</t>
  </si>
  <si>
    <t xml:space="preserve">% of total fixtures that are LED; target &gt;=80% for green campus</t>
  </si>
  <si>
    <t xml:space="preserve">Fans/AC/cooling complete</t>
  </si>
  <si>
    <t xml:space="preserve">All fans, ACs, coolers, heaters with ratings and usage documented</t>
  </si>
  <si>
    <t xml:space="preserve">AC star ratings documented</t>
  </si>
  <si>
    <t xml:space="preserve">BEE star rating and set temperature for all ACs noted</t>
  </si>
  <si>
    <t xml:space="preserve">ICT equipment complete</t>
  </si>
  <si>
    <t xml:space="preserve">Computers, printers, photocopiers, projectors, TVs, inverters documented</t>
  </si>
  <si>
    <t xml:space="preserve">Standby hours tracked</t>
  </si>
  <si>
    <t xml:space="preserve">Standby mode hours per day documented for ICT equipment</t>
  </si>
  <si>
    <t xml:space="preserve">Power-save mode checked</t>
  </si>
  <si>
    <t xml:space="preserve">Y/N for power-save mode on computers and equipment</t>
  </si>
  <si>
    <t xml:space="preserve">Lab equipment documented</t>
  </si>
  <si>
    <t xml:space="preserve">All lab instruments with power rating and usage pattern listed</t>
  </si>
  <si>
    <t xml:space="preserve">Alternative energy documented</t>
  </si>
  <si>
    <t xml:space="preserve">Solar PV, solar water heater, wind, biogas capacity and generation</t>
  </si>
  <si>
    <t xml:space="preserve">Switch-off drills conducted</t>
  </si>
  <si>
    <t xml:space="preserve">Evidence of energy-saving drills in classrooms/labs</t>
  </si>
  <si>
    <t xml:space="preserve">Awareness boards counted</t>
  </si>
  <si>
    <t xml:space="preserve">Number of energy conservation awareness boards on campus</t>
  </si>
  <si>
    <t xml:space="preserve">Waste/by-products tracked</t>
  </si>
  <si>
    <t xml:space="preserve">Firewood ash and other waste quantities documented</t>
  </si>
  <si>
    <t xml:space="preserve">Dashboard auto-calculates</t>
  </si>
  <si>
    <t xml:space="preserve">Gross kWh, net kWh, cost, renewable offset % all correct</t>
  </si>
  <si>
    <t xml:space="preserve">kWh formula consistent</t>
  </si>
  <si>
    <t xml:space="preserve">kWh = (W x Qty x Hr/day x Days/mo) / 1000 used across all sheets</t>
  </si>
  <si>
    <t xml:space="preserve">Section totals verified</t>
  </si>
  <si>
    <t xml:space="preserve">Each section total cross-checked with dashboard summary</t>
  </si>
  <si>
    <t xml:space="preserve">NAAC 7.1.6 evidence ready</t>
  </si>
  <si>
    <t xml:space="preserve">Green Audit / Environment Audit energy data package complete</t>
  </si>
  <si>
    <t xml:space="preserve">Suggestions documented</t>
  </si>
  <si>
    <t xml:space="preserve">Future energy reduction suggestions listed with timelines</t>
  </si>
  <si>
    <t xml:space="preserve">Reproducibility verified</t>
  </si>
  <si>
    <t xml:space="preserve">All calculations reproducible from input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</si>
</sst>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B71C1C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BF8F00"/>
      <name val="Arial"/>
      <family val="0"/>
      <charset val="1"/>
    </font>
    <font>
      <b val="true"/>
      <sz val="14"/>
      <color rgb="FFBF8F00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2"/>
      <color rgb="FF7030A0"/>
      <name val="Arial"/>
      <family val="0"/>
      <charset val="1"/>
    </font>
    <font>
      <b val="true"/>
      <sz val="11"/>
      <color rgb="FF2F8F9D"/>
      <name val="Arial"/>
      <family val="0"/>
      <charset val="1"/>
    </font>
    <font>
      <b val="true"/>
      <sz val="12"/>
      <color rgb="FF2F8F9D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b val="true"/>
      <sz val="12"/>
      <color rgb="FFED7D31"/>
      <name val="Arial"/>
      <family val="0"/>
      <charset val="1"/>
    </font>
    <font>
      <b val="true"/>
      <sz val="14"/>
      <color rgb="FFB71C1C"/>
      <name val="Arial"/>
      <family val="0"/>
      <charset val="1"/>
    </font>
    <font>
      <b val="true"/>
      <sz val="11"/>
      <color rgb="FF1A2E4F"/>
      <name val="Arial"/>
      <family val="0"/>
      <charset val="1"/>
    </font>
    <font>
      <b val="true"/>
      <sz val="14"/>
      <color rgb="FF1A2E4F"/>
      <name val="Arial"/>
      <family val="0"/>
      <charset val="1"/>
    </font>
    <font>
      <b val="true"/>
      <sz val="14"/>
      <color rgb="FF548235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B71C1C"/>
        <bgColor rgb="FF8B0000"/>
      </patternFill>
    </fill>
    <fill>
      <patternFill patternType="solid">
        <fgColor rgb="FF1A2E4F"/>
        <bgColor rgb="FF404040"/>
      </patternFill>
    </fill>
    <fill>
      <patternFill patternType="solid">
        <fgColor rgb="FFFFFDE7"/>
        <bgColor rgb="FFFFF5D9"/>
      </patternFill>
    </fill>
    <fill>
      <patternFill patternType="solid">
        <fgColor rgb="FFF2F2F2"/>
        <bgColor rgb="FFE3F2FD"/>
      </patternFill>
    </fill>
    <fill>
      <patternFill patternType="solid">
        <fgColor rgb="FFFFF5D9"/>
        <bgColor rgb="FFFFFDE7"/>
      </patternFill>
    </fill>
    <fill>
      <patternFill patternType="solid">
        <fgColor rgb="FFBF8F00"/>
        <bgColor rgb="FFED7D31"/>
      </patternFill>
    </fill>
    <fill>
      <patternFill patternType="solid">
        <fgColor rgb="FFE2EFDA"/>
        <bgColor rgb="FFE3F2FD"/>
      </patternFill>
    </fill>
    <fill>
      <patternFill patternType="solid">
        <fgColor rgb="FF1565C0"/>
        <bgColor rgb="FF0D47A1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008080"/>
      </patternFill>
    </fill>
    <fill>
      <patternFill patternType="solid">
        <fgColor rgb="FF54823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E3F2FD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8B0000"/>
        <bgColor rgb="FF800000"/>
      </patternFill>
    </fill>
    <fill>
      <patternFill patternType="solid">
        <fgColor rgb="FF0D47A1"/>
        <bgColor rgb="FF1565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B71C1C"/>
      <rgbColor rgb="FF993366"/>
      <rgbColor rgb="FF0D47A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9" min="3" style="0" width="2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/>
      <c r="B4" s="4" t="s">
        <v>3</v>
      </c>
      <c r="C4" s="4"/>
      <c r="D4" s="4" t="s">
        <v>4</v>
      </c>
      <c r="E4" s="4"/>
      <c r="F4" s="4" t="s">
        <v>5</v>
      </c>
      <c r="G4" s="4"/>
      <c r="H4" s="4"/>
      <c r="I4" s="4"/>
      <c r="J4" s="4" t="s">
        <v>6</v>
      </c>
    </row>
    <row r="5" customFormat="false" ht="15" hidden="false" customHeight="true" outlineLevel="0" collapsed="false">
      <c r="A5" s="5" t="s">
        <v>7</v>
      </c>
      <c r="B5" s="5"/>
      <c r="C5" s="5"/>
      <c r="D5" s="6"/>
      <c r="E5" s="7"/>
      <c r="F5" s="8"/>
      <c r="G5" s="9" t="s">
        <v>8</v>
      </c>
      <c r="H5" s="9"/>
      <c r="I5" s="9"/>
      <c r="J5" s="9"/>
    </row>
    <row r="6" customFormat="false" ht="15" hidden="false" customHeight="true" outlineLevel="0" collapsed="false">
      <c r="A6" s="5" t="s">
        <v>9</v>
      </c>
      <c r="B6" s="5"/>
      <c r="C6" s="5"/>
      <c r="D6" s="6"/>
      <c r="E6" s="7"/>
      <c r="F6" s="8" t="s">
        <v>10</v>
      </c>
      <c r="G6" s="9" t="s">
        <v>11</v>
      </c>
      <c r="H6" s="9"/>
      <c r="I6" s="9"/>
      <c r="J6" s="9"/>
    </row>
    <row r="7" customFormat="false" ht="15" hidden="false" customHeight="true" outlineLevel="0" collapsed="false">
      <c r="A7" s="5" t="s">
        <v>12</v>
      </c>
      <c r="B7" s="5"/>
      <c r="C7" s="5"/>
      <c r="D7" s="6"/>
      <c r="E7" s="7"/>
      <c r="F7" s="8" t="s">
        <v>13</v>
      </c>
      <c r="G7" s="9" t="s">
        <v>14</v>
      </c>
      <c r="H7" s="9"/>
      <c r="I7" s="9"/>
      <c r="J7" s="9"/>
    </row>
    <row r="8" customFormat="false" ht="15" hidden="false" customHeight="true" outlineLevel="0" collapsed="false">
      <c r="A8" s="5" t="s">
        <v>15</v>
      </c>
      <c r="B8" s="5"/>
      <c r="C8" s="5"/>
      <c r="D8" s="6"/>
      <c r="E8" s="7"/>
      <c r="F8" s="8" t="s">
        <v>16</v>
      </c>
      <c r="G8" s="9" t="s">
        <v>17</v>
      </c>
      <c r="H8" s="9"/>
      <c r="I8" s="9"/>
      <c r="J8" s="9"/>
    </row>
    <row r="9" customFormat="false" ht="15" hidden="false" customHeight="true" outlineLevel="0" collapsed="false">
      <c r="A9" s="5" t="s">
        <v>18</v>
      </c>
      <c r="B9" s="5"/>
      <c r="C9" s="5"/>
      <c r="D9" s="6"/>
      <c r="E9" s="7"/>
      <c r="F9" s="8" t="s">
        <v>19</v>
      </c>
      <c r="G9" s="9" t="s">
        <v>20</v>
      </c>
      <c r="H9" s="9"/>
      <c r="I9" s="9"/>
      <c r="J9" s="9"/>
    </row>
    <row r="10" customFormat="false" ht="15" hidden="false" customHeight="true" outlineLevel="0" collapsed="false">
      <c r="A10" s="5" t="s">
        <v>21</v>
      </c>
      <c r="B10" s="5"/>
      <c r="C10" s="5"/>
      <c r="D10" s="6"/>
      <c r="E10" s="7"/>
      <c r="F10" s="8"/>
      <c r="G10" s="9"/>
      <c r="H10" s="9"/>
      <c r="I10" s="9"/>
      <c r="J10" s="9"/>
    </row>
    <row r="11" customFormat="false" ht="15" hidden="false" customHeight="true" outlineLevel="0" collapsed="false">
      <c r="A11" s="5" t="s">
        <v>22</v>
      </c>
      <c r="B11" s="5"/>
      <c r="C11" s="5"/>
      <c r="D11" s="6"/>
      <c r="E11" s="7"/>
      <c r="F11" s="8"/>
      <c r="G11" s="9"/>
      <c r="H11" s="9"/>
      <c r="I11" s="9"/>
      <c r="J11" s="9"/>
    </row>
    <row r="12" customFormat="false" ht="15" hidden="false" customHeight="true" outlineLevel="0" collapsed="false">
      <c r="A12" s="5" t="s">
        <v>23</v>
      </c>
      <c r="B12" s="5"/>
      <c r="C12" s="5"/>
      <c r="D12" s="6"/>
      <c r="E12" s="7"/>
      <c r="F12" s="8"/>
      <c r="G12" s="9"/>
      <c r="H12" s="9"/>
      <c r="I12" s="9"/>
      <c r="J12" s="9"/>
    </row>
    <row r="14" customFormat="false" ht="25.5" hidden="false" customHeight="true" outlineLevel="0" collapsed="false">
      <c r="A14" s="2" t="s">
        <v>24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23.85" hidden="false" customHeight="false" outlineLevel="0" collapsed="false">
      <c r="A15" s="10" t="s">
        <v>25</v>
      </c>
      <c r="B15" s="10" t="s">
        <v>26</v>
      </c>
      <c r="C15" s="10" t="s">
        <v>27</v>
      </c>
      <c r="D15" s="10" t="s">
        <v>28</v>
      </c>
      <c r="E15" s="10" t="s">
        <v>29</v>
      </c>
      <c r="F15" s="10" t="s">
        <v>30</v>
      </c>
      <c r="G15" s="10" t="s">
        <v>31</v>
      </c>
      <c r="H15" s="10" t="s">
        <v>32</v>
      </c>
      <c r="I15" s="10" t="s">
        <v>33</v>
      </c>
      <c r="J15" s="10" t="s">
        <v>34</v>
      </c>
    </row>
    <row r="16" customFormat="false" ht="15" hidden="false" customHeight="false" outlineLevel="0" collapsed="false">
      <c r="A16" s="8" t="n">
        <v>1</v>
      </c>
      <c r="B16" s="6"/>
      <c r="C16" s="6"/>
      <c r="D16" s="11"/>
      <c r="E16" s="11"/>
      <c r="F16" s="6"/>
      <c r="G16" s="11"/>
      <c r="H16" s="11"/>
      <c r="I16" s="12" t="n">
        <f aca="false">IF(COUNTA(D16:H16)&gt;0,(D16+E16+G16)/12+H16/12,0)</f>
        <v>0</v>
      </c>
      <c r="J16" s="6"/>
    </row>
    <row r="17" customFormat="false" ht="15" hidden="false" customHeight="false" outlineLevel="0" collapsed="false">
      <c r="A17" s="8" t="n">
        <v>2</v>
      </c>
      <c r="B17" s="6"/>
      <c r="C17" s="6"/>
      <c r="D17" s="11"/>
      <c r="E17" s="11"/>
      <c r="F17" s="6"/>
      <c r="G17" s="11"/>
      <c r="H17" s="11"/>
      <c r="I17" s="12" t="n">
        <f aca="false">IF(COUNTA(D17:H17)&gt;0,(D17+E17+G17)/12+H17/12,0)</f>
        <v>0</v>
      </c>
      <c r="J17" s="6"/>
    </row>
    <row r="18" customFormat="false" ht="15" hidden="false" customHeight="false" outlineLevel="0" collapsed="false">
      <c r="A18" s="8" t="n">
        <v>3</v>
      </c>
      <c r="B18" s="6"/>
      <c r="C18" s="6"/>
      <c r="D18" s="11"/>
      <c r="E18" s="11"/>
      <c r="F18" s="6"/>
      <c r="G18" s="11"/>
      <c r="H18" s="11"/>
      <c r="I18" s="12" t="n">
        <f aca="false">IF(COUNTA(D18:H18)&gt;0,(D18+E18+G18)/12+H18/12,0)</f>
        <v>0</v>
      </c>
      <c r="J18" s="6"/>
    </row>
    <row r="19" customFormat="false" ht="15" hidden="false" customHeight="false" outlineLevel="0" collapsed="false">
      <c r="A19" s="8" t="n">
        <v>4</v>
      </c>
      <c r="B19" s="6"/>
      <c r="C19" s="6"/>
      <c r="D19" s="11"/>
      <c r="E19" s="11"/>
      <c r="F19" s="6"/>
      <c r="G19" s="11"/>
      <c r="H19" s="11"/>
      <c r="I19" s="12" t="n">
        <f aca="false">IF(COUNTA(D19:H19)&gt;0,(D19+E19+G19)/12+H19/12,0)</f>
        <v>0</v>
      </c>
      <c r="J19" s="6"/>
    </row>
    <row r="20" customFormat="false" ht="15" hidden="false" customHeight="false" outlineLevel="0" collapsed="false">
      <c r="A20" s="8" t="n">
        <v>5</v>
      </c>
      <c r="B20" s="6"/>
      <c r="C20" s="6"/>
      <c r="D20" s="11"/>
      <c r="E20" s="11"/>
      <c r="F20" s="6"/>
      <c r="G20" s="11"/>
      <c r="H20" s="11"/>
      <c r="I20" s="12" t="n">
        <f aca="false">IF(COUNTA(D20:H20)&gt;0,(D20+E20+G20)/12+H20/12,0)</f>
        <v>0</v>
      </c>
      <c r="J20" s="6"/>
    </row>
    <row r="21" customFormat="false" ht="15" hidden="false" customHeight="false" outlineLevel="0" collapsed="false">
      <c r="A21" s="8" t="n">
        <v>6</v>
      </c>
      <c r="B21" s="6"/>
      <c r="C21" s="6"/>
      <c r="D21" s="11"/>
      <c r="E21" s="11"/>
      <c r="F21" s="6"/>
      <c r="G21" s="11"/>
      <c r="H21" s="11"/>
      <c r="I21" s="12" t="n">
        <f aca="false">IF(COUNTA(D21:H21)&gt;0,(D21+E21+G21)/12+H21/12,0)</f>
        <v>0</v>
      </c>
      <c r="J21" s="6"/>
    </row>
    <row r="22" customFormat="false" ht="15" hidden="false" customHeight="false" outlineLevel="0" collapsed="false">
      <c r="A22" s="8" t="n">
        <v>7</v>
      </c>
      <c r="B22" s="6"/>
      <c r="C22" s="6"/>
      <c r="D22" s="11"/>
      <c r="E22" s="11"/>
      <c r="F22" s="6"/>
      <c r="G22" s="11"/>
      <c r="H22" s="11"/>
      <c r="I22" s="12" t="n">
        <f aca="false">IF(COUNTA(D22:H22)&gt;0,(D22+E22+G22)/12+H22/12,0)</f>
        <v>0</v>
      </c>
      <c r="J22" s="6"/>
    </row>
    <row r="23" customFormat="false" ht="15" hidden="false" customHeight="false" outlineLevel="0" collapsed="false">
      <c r="A23" s="8" t="n">
        <v>8</v>
      </c>
      <c r="B23" s="6"/>
      <c r="C23" s="6"/>
      <c r="D23" s="11"/>
      <c r="E23" s="11"/>
      <c r="F23" s="6"/>
      <c r="G23" s="11"/>
      <c r="H23" s="11"/>
      <c r="I23" s="12" t="n">
        <f aca="false">IF(COUNTA(D23:H23)&gt;0,(D23+E23+G23)/12+H23/12,0)</f>
        <v>0</v>
      </c>
      <c r="J23" s="6"/>
    </row>
    <row r="24" customFormat="false" ht="15" hidden="false" customHeight="false" outlineLevel="0" collapsed="false">
      <c r="A24" s="8" t="n">
        <v>9</v>
      </c>
      <c r="B24" s="6"/>
      <c r="C24" s="6"/>
      <c r="D24" s="11"/>
      <c r="E24" s="11"/>
      <c r="F24" s="6"/>
      <c r="G24" s="11"/>
      <c r="H24" s="11"/>
      <c r="I24" s="12" t="n">
        <f aca="false">IF(COUNTA(D24:H24)&gt;0,(D24+E24+G24)/12+H24/12,0)</f>
        <v>0</v>
      </c>
      <c r="J24" s="6"/>
    </row>
    <row r="25" customFormat="false" ht="15" hidden="false" customHeight="false" outlineLevel="0" collapsed="false">
      <c r="A25" s="8" t="n">
        <v>10</v>
      </c>
      <c r="B25" s="6"/>
      <c r="C25" s="6"/>
      <c r="D25" s="11"/>
      <c r="E25" s="11"/>
      <c r="F25" s="6"/>
      <c r="G25" s="11"/>
      <c r="H25" s="11"/>
      <c r="I25" s="12" t="n">
        <f aca="false">IF(COUNTA(D25:H25)&gt;0,(D25+E25+G25)/12+H25/12,0)</f>
        <v>0</v>
      </c>
      <c r="J25" s="6"/>
    </row>
    <row r="26" customFormat="false" ht="15" hidden="false" customHeight="false" outlineLevel="0" collapsed="false">
      <c r="A26" s="8" t="n">
        <v>11</v>
      </c>
      <c r="B26" s="6"/>
      <c r="C26" s="6"/>
      <c r="D26" s="11"/>
      <c r="E26" s="11"/>
      <c r="F26" s="6"/>
      <c r="G26" s="11"/>
      <c r="H26" s="11"/>
      <c r="I26" s="12" t="n">
        <f aca="false">IF(COUNTA(D26:H26)&gt;0,(D26+E26+G26)/12+H26/12,0)</f>
        <v>0</v>
      </c>
      <c r="J26" s="6"/>
    </row>
    <row r="27" customFormat="false" ht="15" hidden="false" customHeight="false" outlineLevel="0" collapsed="false">
      <c r="A27" s="8" t="n">
        <v>12</v>
      </c>
      <c r="B27" s="6"/>
      <c r="C27" s="6"/>
      <c r="D27" s="11"/>
      <c r="E27" s="11"/>
      <c r="F27" s="6"/>
      <c r="G27" s="11"/>
      <c r="H27" s="11"/>
      <c r="I27" s="12" t="n">
        <f aca="false">IF(COUNTA(D27:H27)&gt;0,(D27+E27+G27)/12+H27/12,0)</f>
        <v>0</v>
      </c>
      <c r="J27" s="6"/>
    </row>
    <row r="28" customFormat="false" ht="15" hidden="false" customHeight="false" outlineLevel="0" collapsed="false">
      <c r="A28" s="8" t="n">
        <v>13</v>
      </c>
      <c r="B28" s="6"/>
      <c r="C28" s="6"/>
      <c r="D28" s="11"/>
      <c r="E28" s="11"/>
      <c r="F28" s="6"/>
      <c r="G28" s="11"/>
      <c r="H28" s="11"/>
      <c r="I28" s="12" t="n">
        <f aca="false">IF(COUNTA(D28:H28)&gt;0,(D28+E28+G28)/12+H28/12,0)</f>
        <v>0</v>
      </c>
      <c r="J28" s="6"/>
    </row>
    <row r="29" customFormat="false" ht="15" hidden="false" customHeight="false" outlineLevel="0" collapsed="false">
      <c r="A29" s="8" t="n">
        <v>14</v>
      </c>
      <c r="B29" s="6"/>
      <c r="C29" s="6"/>
      <c r="D29" s="11"/>
      <c r="E29" s="11"/>
      <c r="F29" s="6"/>
      <c r="G29" s="11"/>
      <c r="H29" s="11"/>
      <c r="I29" s="12" t="n">
        <f aca="false">IF(COUNTA(D29:H29)&gt;0,(D29+E29+G29)/12+H29/12,0)</f>
        <v>0</v>
      </c>
      <c r="J29" s="6"/>
    </row>
    <row r="30" customFormat="false" ht="15" hidden="false" customHeight="false" outlineLevel="0" collapsed="false">
      <c r="A30" s="8" t="n">
        <v>15</v>
      </c>
      <c r="B30" s="6"/>
      <c r="C30" s="6"/>
      <c r="D30" s="11"/>
      <c r="E30" s="11"/>
      <c r="F30" s="6"/>
      <c r="G30" s="11"/>
      <c r="H30" s="11"/>
      <c r="I30" s="12" t="n">
        <f aca="false">IF(COUNTA(D30:H30)&gt;0,(D30+E30+G30)/12+H30/12,0)</f>
        <v>0</v>
      </c>
      <c r="J30" s="6"/>
    </row>
    <row r="31" customFormat="false" ht="15" hidden="false" customHeight="false" outlineLevel="0" collapsed="false">
      <c r="A31" s="8" t="n">
        <v>16</v>
      </c>
      <c r="B31" s="6"/>
      <c r="C31" s="6"/>
      <c r="D31" s="11"/>
      <c r="E31" s="11"/>
      <c r="F31" s="6"/>
      <c r="G31" s="11"/>
      <c r="H31" s="11"/>
      <c r="I31" s="12" t="n">
        <f aca="false">IF(COUNTA(D31:H31)&gt;0,(D31+E31+G31)/12+H31/12,0)</f>
        <v>0</v>
      </c>
      <c r="J31" s="6"/>
    </row>
    <row r="32" customFormat="false" ht="15" hidden="false" customHeight="false" outlineLevel="0" collapsed="false">
      <c r="A32" s="8" t="n">
        <v>17</v>
      </c>
      <c r="B32" s="6"/>
      <c r="C32" s="6"/>
      <c r="D32" s="11"/>
      <c r="E32" s="11"/>
      <c r="F32" s="6"/>
      <c r="G32" s="11"/>
      <c r="H32" s="11"/>
      <c r="I32" s="12" t="n">
        <f aca="false">IF(COUNTA(D32:H32)&gt;0,(D32+E32+G32)/12+H32/12,0)</f>
        <v>0</v>
      </c>
      <c r="J32" s="6"/>
    </row>
    <row r="33" customFormat="false" ht="15" hidden="false" customHeight="false" outlineLevel="0" collapsed="false">
      <c r="A33" s="8" t="n">
        <v>18</v>
      </c>
      <c r="B33" s="6"/>
      <c r="C33" s="6"/>
      <c r="D33" s="11"/>
      <c r="E33" s="11"/>
      <c r="F33" s="6"/>
      <c r="G33" s="11"/>
      <c r="H33" s="11"/>
      <c r="I33" s="12" t="n">
        <f aca="false">IF(COUNTA(D33:H33)&gt;0,(D33+E33+G33)/12+H33/12,0)</f>
        <v>0</v>
      </c>
      <c r="J33" s="6"/>
    </row>
    <row r="34" customFormat="false" ht="15" hidden="false" customHeight="false" outlineLevel="0" collapsed="false">
      <c r="A34" s="8" t="n">
        <v>19</v>
      </c>
      <c r="B34" s="6"/>
      <c r="C34" s="6"/>
      <c r="D34" s="11"/>
      <c r="E34" s="11"/>
      <c r="F34" s="6"/>
      <c r="G34" s="11"/>
      <c r="H34" s="11"/>
      <c r="I34" s="12" t="n">
        <f aca="false">IF(COUNTA(D34:H34)&gt;0,(D34+E34+G34)/12+H34/12,0)</f>
        <v>0</v>
      </c>
      <c r="J34" s="6"/>
    </row>
    <row r="35" customFormat="false" ht="15" hidden="false" customHeight="false" outlineLevel="0" collapsed="false">
      <c r="A35" s="8" t="n">
        <v>20</v>
      </c>
      <c r="B35" s="6"/>
      <c r="C35" s="6"/>
      <c r="D35" s="11"/>
      <c r="E35" s="11"/>
      <c r="F35" s="6"/>
      <c r="G35" s="11"/>
      <c r="H35" s="11"/>
      <c r="I35" s="12" t="n">
        <f aca="false">IF(COUNTA(D35:H35)&gt;0,(D35+E35+G35)/12+H35/12,0)</f>
        <v>0</v>
      </c>
      <c r="J35" s="6"/>
    </row>
    <row r="36" customFormat="false" ht="15" hidden="false" customHeight="true" outlineLevel="0" collapsed="false">
      <c r="A36" s="13" t="s">
        <v>35</v>
      </c>
      <c r="B36" s="13"/>
      <c r="C36" s="13"/>
      <c r="D36" s="14" t="n">
        <f aca="false">SUM(D16:D35)</f>
        <v>0</v>
      </c>
      <c r="E36" s="14" t="n">
        <f aca="false">SUM(E16:E35)</f>
        <v>0</v>
      </c>
      <c r="F36" s="15"/>
      <c r="G36" s="14" t="n">
        <f aca="false">SUM(G16:G35)</f>
        <v>0</v>
      </c>
      <c r="H36" s="14" t="n">
        <f aca="false">SUM(H16:H35)</f>
        <v>0</v>
      </c>
      <c r="I36" s="14" t="n">
        <f aca="false">SUM(I16:I35)</f>
        <v>0</v>
      </c>
      <c r="J36" s="15"/>
    </row>
  </sheetData>
  <mergeCells count="21">
    <mergeCell ref="A1:J1"/>
    <mergeCell ref="A2:J2"/>
    <mergeCell ref="A3:J3"/>
    <mergeCell ref="A5:C5"/>
    <mergeCell ref="G5:J5"/>
    <mergeCell ref="A6:C6"/>
    <mergeCell ref="G6:J6"/>
    <mergeCell ref="A7:C7"/>
    <mergeCell ref="G7:J7"/>
    <mergeCell ref="A8:C8"/>
    <mergeCell ref="G8:J8"/>
    <mergeCell ref="A9:C9"/>
    <mergeCell ref="G9:J9"/>
    <mergeCell ref="A10:C10"/>
    <mergeCell ref="G10:J10"/>
    <mergeCell ref="A11:C11"/>
    <mergeCell ref="G11:J11"/>
    <mergeCell ref="A12:C12"/>
    <mergeCell ref="G12:J12"/>
    <mergeCell ref="A14:J14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25.5" hidden="false" customHeight="true" outlineLevel="0" collapsed="false">
      <c r="A2" s="17" t="s">
        <v>37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35.05" hidden="false" customHeight="false" outlineLevel="0" collapsed="false">
      <c r="A3" s="18" t="s">
        <v>25</v>
      </c>
      <c r="B3" s="18" t="s">
        <v>38</v>
      </c>
      <c r="C3" s="18" t="s">
        <v>39</v>
      </c>
      <c r="D3" s="18" t="s">
        <v>40</v>
      </c>
      <c r="E3" s="18" t="s">
        <v>41</v>
      </c>
      <c r="F3" s="18" t="s">
        <v>42</v>
      </c>
      <c r="G3" s="18" t="s">
        <v>43</v>
      </c>
      <c r="H3" s="18" t="s">
        <v>44</v>
      </c>
      <c r="I3" s="18" t="s">
        <v>45</v>
      </c>
      <c r="J3" s="18" t="s">
        <v>6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6"/>
      <c r="F4" s="6"/>
      <c r="G4" s="6"/>
      <c r="H4" s="19" t="n">
        <f aca="false">IF(AND(D4&gt;0,E4&gt;0,F4&gt;0,G4&gt;0),D4*E4*F4*G4/1000,0)</f>
        <v>0</v>
      </c>
      <c r="I4" s="12" t="n">
        <f aca="false">H4*'A. General Energy'!D6</f>
        <v>0</v>
      </c>
      <c r="J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6"/>
      <c r="F5" s="6"/>
      <c r="G5" s="6"/>
      <c r="H5" s="19" t="n">
        <f aca="false">IF(AND(D5&gt;0,E5&gt;0,F5&gt;0,G5&gt;0),D5*E5*F5*G5/1000,0)</f>
        <v>0</v>
      </c>
      <c r="I5" s="12" t="n">
        <f aca="false">H5*'A. General Energy'!D6</f>
        <v>0</v>
      </c>
      <c r="J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6"/>
      <c r="F6" s="6"/>
      <c r="G6" s="6"/>
      <c r="H6" s="19" t="n">
        <f aca="false">IF(AND(D6&gt;0,E6&gt;0,F6&gt;0,G6&gt;0),D6*E6*F6*G6/1000,0)</f>
        <v>0</v>
      </c>
      <c r="I6" s="12" t="n">
        <f aca="false">H6*'A. General Energy'!D6</f>
        <v>0</v>
      </c>
      <c r="J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6"/>
      <c r="F7" s="6"/>
      <c r="G7" s="6"/>
      <c r="H7" s="19" t="n">
        <f aca="false">IF(AND(D7&gt;0,E7&gt;0,F7&gt;0,G7&gt;0),D7*E7*F7*G7/1000,0)</f>
        <v>0</v>
      </c>
      <c r="I7" s="12" t="n">
        <f aca="false">H7*'A. General Energy'!D6</f>
        <v>0</v>
      </c>
      <c r="J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6"/>
      <c r="F8" s="6"/>
      <c r="G8" s="6"/>
      <c r="H8" s="19" t="n">
        <f aca="false">IF(AND(D8&gt;0,E8&gt;0,F8&gt;0,G8&gt;0),D8*E8*F8*G8/1000,0)</f>
        <v>0</v>
      </c>
      <c r="I8" s="12" t="n">
        <f aca="false">H8*'A. General Energy'!D6</f>
        <v>0</v>
      </c>
      <c r="J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6"/>
      <c r="F9" s="6"/>
      <c r="G9" s="6"/>
      <c r="H9" s="19" t="n">
        <f aca="false">IF(AND(D9&gt;0,E9&gt;0,F9&gt;0,G9&gt;0),D9*E9*F9*G9/1000,0)</f>
        <v>0</v>
      </c>
      <c r="I9" s="12" t="n">
        <f aca="false">H9*'A. General Energy'!D6</f>
        <v>0</v>
      </c>
      <c r="J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6"/>
      <c r="F10" s="6"/>
      <c r="G10" s="6"/>
      <c r="H10" s="19" t="n">
        <f aca="false">IF(AND(D10&gt;0,E10&gt;0,F10&gt;0,G10&gt;0),D10*E10*F10*G10/1000,0)</f>
        <v>0</v>
      </c>
      <c r="I10" s="12" t="n">
        <f aca="false">H10*'A. General Energy'!D6</f>
        <v>0</v>
      </c>
      <c r="J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6"/>
      <c r="F11" s="6"/>
      <c r="G11" s="6"/>
      <c r="H11" s="19" t="n">
        <f aca="false">IF(AND(D11&gt;0,E11&gt;0,F11&gt;0,G11&gt;0),D11*E11*F11*G11/1000,0)</f>
        <v>0</v>
      </c>
      <c r="I11" s="12" t="n">
        <f aca="false">H11*'A. General Energy'!D6</f>
        <v>0</v>
      </c>
      <c r="J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6"/>
      <c r="F12" s="6"/>
      <c r="G12" s="6"/>
      <c r="H12" s="19" t="n">
        <f aca="false">IF(AND(D12&gt;0,E12&gt;0,F12&gt;0,G12&gt;0),D12*E12*F12*G12/1000,0)</f>
        <v>0</v>
      </c>
      <c r="I12" s="12" t="n">
        <f aca="false">H12*'A. General Energy'!D6</f>
        <v>0</v>
      </c>
      <c r="J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6"/>
      <c r="F13" s="6"/>
      <c r="G13" s="6"/>
      <c r="H13" s="19" t="n">
        <f aca="false">IF(AND(D13&gt;0,E13&gt;0,F13&gt;0,G13&gt;0),D13*E13*F13*G13/1000,0)</f>
        <v>0</v>
      </c>
      <c r="I13" s="12" t="n">
        <f aca="false">H13*'A. General Energy'!D6</f>
        <v>0</v>
      </c>
      <c r="J13" s="6"/>
    </row>
    <row r="14" customFormat="false" ht="15" hidden="false" customHeight="false" outlineLevel="0" collapsed="false">
      <c r="A14" s="8" t="n">
        <v>11</v>
      </c>
      <c r="B14" s="6"/>
      <c r="C14" s="6"/>
      <c r="D14" s="6"/>
      <c r="E14" s="6"/>
      <c r="F14" s="6"/>
      <c r="G14" s="6"/>
      <c r="H14" s="19" t="n">
        <f aca="false">IF(AND(D14&gt;0,E14&gt;0,F14&gt;0,G14&gt;0),D14*E14*F14*G14/1000,0)</f>
        <v>0</v>
      </c>
      <c r="I14" s="12" t="n">
        <f aca="false">H14*'A. General Energy'!D6</f>
        <v>0</v>
      </c>
      <c r="J14" s="6"/>
    </row>
    <row r="15" customFormat="false" ht="15" hidden="false" customHeight="false" outlineLevel="0" collapsed="false">
      <c r="A15" s="8" t="n">
        <v>12</v>
      </c>
      <c r="B15" s="6"/>
      <c r="C15" s="6"/>
      <c r="D15" s="6"/>
      <c r="E15" s="6"/>
      <c r="F15" s="6"/>
      <c r="G15" s="6"/>
      <c r="H15" s="19" t="n">
        <f aca="false">IF(AND(D15&gt;0,E15&gt;0,F15&gt;0,G15&gt;0),D15*E15*F15*G15/1000,0)</f>
        <v>0</v>
      </c>
      <c r="I15" s="12" t="n">
        <f aca="false">H15*'A. General Energy'!D6</f>
        <v>0</v>
      </c>
      <c r="J15" s="6"/>
    </row>
    <row r="16" customFormat="false" ht="15" hidden="false" customHeight="false" outlineLevel="0" collapsed="false">
      <c r="A16" s="8" t="n">
        <v>13</v>
      </c>
      <c r="B16" s="6"/>
      <c r="C16" s="6"/>
      <c r="D16" s="6"/>
      <c r="E16" s="6"/>
      <c r="F16" s="6"/>
      <c r="G16" s="6"/>
      <c r="H16" s="19" t="n">
        <f aca="false">IF(AND(D16&gt;0,E16&gt;0,F16&gt;0,G16&gt;0),D16*E16*F16*G16/1000,0)</f>
        <v>0</v>
      </c>
      <c r="I16" s="12" t="n">
        <f aca="false">H16*'A. General Energy'!D6</f>
        <v>0</v>
      </c>
      <c r="J16" s="6"/>
    </row>
    <row r="17" customFormat="false" ht="15" hidden="false" customHeight="false" outlineLevel="0" collapsed="false">
      <c r="A17" s="8" t="n">
        <v>14</v>
      </c>
      <c r="B17" s="6"/>
      <c r="C17" s="6"/>
      <c r="D17" s="6"/>
      <c r="E17" s="6"/>
      <c r="F17" s="6"/>
      <c r="G17" s="6"/>
      <c r="H17" s="19" t="n">
        <f aca="false">IF(AND(D17&gt;0,E17&gt;0,F17&gt;0,G17&gt;0),D17*E17*F17*G17/1000,0)</f>
        <v>0</v>
      </c>
      <c r="I17" s="12" t="n">
        <f aca="false">H17*'A. General Energy'!D6</f>
        <v>0</v>
      </c>
      <c r="J17" s="6"/>
    </row>
    <row r="18" customFormat="false" ht="15" hidden="false" customHeight="false" outlineLevel="0" collapsed="false">
      <c r="A18" s="8" t="n">
        <v>15</v>
      </c>
      <c r="B18" s="6"/>
      <c r="C18" s="6"/>
      <c r="D18" s="6"/>
      <c r="E18" s="6"/>
      <c r="F18" s="6"/>
      <c r="G18" s="6"/>
      <c r="H18" s="19" t="n">
        <f aca="false">IF(AND(D18&gt;0,E18&gt;0,F18&gt;0,G18&gt;0),D18*E18*F18*G18/1000,0)</f>
        <v>0</v>
      </c>
      <c r="I18" s="12" t="n">
        <f aca="false">H18*'A. General Energy'!D6</f>
        <v>0</v>
      </c>
      <c r="J18" s="6"/>
    </row>
    <row r="19" customFormat="false" ht="15" hidden="false" customHeight="false" outlineLevel="0" collapsed="false">
      <c r="A19" s="8" t="n">
        <v>16</v>
      </c>
      <c r="B19" s="6"/>
      <c r="C19" s="6"/>
      <c r="D19" s="6"/>
      <c r="E19" s="6"/>
      <c r="F19" s="6"/>
      <c r="G19" s="6"/>
      <c r="H19" s="19" t="n">
        <f aca="false">IF(AND(D19&gt;0,E19&gt;0,F19&gt;0,G19&gt;0),D19*E19*F19*G19/1000,0)</f>
        <v>0</v>
      </c>
      <c r="I19" s="12" t="n">
        <f aca="false">H19*'A. General Energy'!D6</f>
        <v>0</v>
      </c>
      <c r="J19" s="6"/>
    </row>
    <row r="20" customFormat="false" ht="15" hidden="false" customHeight="false" outlineLevel="0" collapsed="false">
      <c r="A20" s="8" t="n">
        <v>17</v>
      </c>
      <c r="B20" s="6"/>
      <c r="C20" s="6"/>
      <c r="D20" s="6"/>
      <c r="E20" s="6"/>
      <c r="F20" s="6"/>
      <c r="G20" s="6"/>
      <c r="H20" s="19" t="n">
        <f aca="false">IF(AND(D20&gt;0,E20&gt;0,F20&gt;0,G20&gt;0),D20*E20*F20*G20/1000,0)</f>
        <v>0</v>
      </c>
      <c r="I20" s="12" t="n">
        <f aca="false">H20*'A. General Energy'!D6</f>
        <v>0</v>
      </c>
      <c r="J20" s="6"/>
    </row>
    <row r="21" customFormat="false" ht="15" hidden="false" customHeight="false" outlineLevel="0" collapsed="false">
      <c r="A21" s="8" t="n">
        <v>18</v>
      </c>
      <c r="B21" s="6"/>
      <c r="C21" s="6"/>
      <c r="D21" s="6"/>
      <c r="E21" s="6"/>
      <c r="F21" s="6"/>
      <c r="G21" s="6"/>
      <c r="H21" s="19" t="n">
        <f aca="false">IF(AND(D21&gt;0,E21&gt;0,F21&gt;0,G21&gt;0),D21*E21*F21*G21/1000,0)</f>
        <v>0</v>
      </c>
      <c r="I21" s="12" t="n">
        <f aca="false">H21*'A. General Energy'!D6</f>
        <v>0</v>
      </c>
      <c r="J21" s="6"/>
    </row>
    <row r="22" customFormat="false" ht="15" hidden="false" customHeight="false" outlineLevel="0" collapsed="false">
      <c r="A22" s="8" t="n">
        <v>19</v>
      </c>
      <c r="B22" s="6"/>
      <c r="C22" s="6"/>
      <c r="D22" s="6"/>
      <c r="E22" s="6"/>
      <c r="F22" s="6"/>
      <c r="G22" s="6"/>
      <c r="H22" s="19" t="n">
        <f aca="false">IF(AND(D22&gt;0,E22&gt;0,F22&gt;0,G22&gt;0),D22*E22*F22*G22/1000,0)</f>
        <v>0</v>
      </c>
      <c r="I22" s="12" t="n">
        <f aca="false">H22*'A. General Energy'!D6</f>
        <v>0</v>
      </c>
      <c r="J22" s="6"/>
    </row>
    <row r="23" customFormat="false" ht="15" hidden="false" customHeight="false" outlineLevel="0" collapsed="false">
      <c r="A23" s="8" t="n">
        <v>20</v>
      </c>
      <c r="B23" s="6"/>
      <c r="C23" s="6"/>
      <c r="D23" s="6"/>
      <c r="E23" s="6"/>
      <c r="F23" s="6"/>
      <c r="G23" s="6"/>
      <c r="H23" s="19" t="n">
        <f aca="false">IF(AND(D23&gt;0,E23&gt;0,F23&gt;0,G23&gt;0),D23*E23*F23*G23/1000,0)</f>
        <v>0</v>
      </c>
      <c r="I23" s="12" t="n">
        <f aca="false">H23*'A. General Energy'!D6</f>
        <v>0</v>
      </c>
      <c r="J23" s="6"/>
    </row>
    <row r="24" customFormat="false" ht="15" hidden="false" customHeight="false" outlineLevel="0" collapsed="false">
      <c r="A24" s="8" t="n">
        <v>21</v>
      </c>
      <c r="B24" s="6"/>
      <c r="C24" s="6"/>
      <c r="D24" s="6"/>
      <c r="E24" s="6"/>
      <c r="F24" s="6"/>
      <c r="G24" s="6"/>
      <c r="H24" s="19" t="n">
        <f aca="false">IF(AND(D24&gt;0,E24&gt;0,F24&gt;0,G24&gt;0),D24*E24*F24*G24/1000,0)</f>
        <v>0</v>
      </c>
      <c r="I24" s="12" t="n">
        <f aca="false">H24*'A. General Energy'!D6</f>
        <v>0</v>
      </c>
      <c r="J24" s="6"/>
    </row>
    <row r="25" customFormat="false" ht="15" hidden="false" customHeight="false" outlineLevel="0" collapsed="false">
      <c r="A25" s="8" t="n">
        <v>22</v>
      </c>
      <c r="B25" s="6"/>
      <c r="C25" s="6"/>
      <c r="D25" s="6"/>
      <c r="E25" s="6"/>
      <c r="F25" s="6"/>
      <c r="G25" s="6"/>
      <c r="H25" s="19" t="n">
        <f aca="false">IF(AND(D25&gt;0,E25&gt;0,F25&gt;0,G25&gt;0),D25*E25*F25*G25/1000,0)</f>
        <v>0</v>
      </c>
      <c r="I25" s="12" t="n">
        <f aca="false">H25*'A. General Energy'!D6</f>
        <v>0</v>
      </c>
      <c r="J25" s="6"/>
    </row>
    <row r="26" customFormat="false" ht="15" hidden="false" customHeight="false" outlineLevel="0" collapsed="false">
      <c r="A26" s="8" t="n">
        <v>23</v>
      </c>
      <c r="B26" s="6"/>
      <c r="C26" s="6"/>
      <c r="D26" s="6"/>
      <c r="E26" s="6"/>
      <c r="F26" s="6"/>
      <c r="G26" s="6"/>
      <c r="H26" s="19" t="n">
        <f aca="false">IF(AND(D26&gt;0,E26&gt;0,F26&gt;0,G26&gt;0),D26*E26*F26*G26/1000,0)</f>
        <v>0</v>
      </c>
      <c r="I26" s="12" t="n">
        <f aca="false">H26*'A. General Energy'!D6</f>
        <v>0</v>
      </c>
      <c r="J26" s="6"/>
    </row>
    <row r="27" customFormat="false" ht="15" hidden="false" customHeight="false" outlineLevel="0" collapsed="false">
      <c r="A27" s="8" t="n">
        <v>24</v>
      </c>
      <c r="B27" s="6"/>
      <c r="C27" s="6"/>
      <c r="D27" s="6"/>
      <c r="E27" s="6"/>
      <c r="F27" s="6"/>
      <c r="G27" s="6"/>
      <c r="H27" s="19" t="n">
        <f aca="false">IF(AND(D27&gt;0,E27&gt;0,F27&gt;0,G27&gt;0),D27*E27*F27*G27/1000,0)</f>
        <v>0</v>
      </c>
      <c r="I27" s="12" t="n">
        <f aca="false">H27*'A. General Energy'!D6</f>
        <v>0</v>
      </c>
      <c r="J27" s="6"/>
    </row>
    <row r="28" customFormat="false" ht="15" hidden="false" customHeight="false" outlineLevel="0" collapsed="false">
      <c r="A28" s="8" t="n">
        <v>25</v>
      </c>
      <c r="B28" s="6"/>
      <c r="C28" s="6"/>
      <c r="D28" s="6"/>
      <c r="E28" s="6"/>
      <c r="F28" s="6"/>
      <c r="G28" s="6"/>
      <c r="H28" s="19" t="n">
        <f aca="false">IF(AND(D28&gt;0,E28&gt;0,F28&gt;0,G28&gt;0),D28*E28*F28*G28/1000,0)</f>
        <v>0</v>
      </c>
      <c r="I28" s="12" t="n">
        <f aca="false">H28*'A. General Energy'!D6</f>
        <v>0</v>
      </c>
      <c r="J28" s="6"/>
    </row>
    <row r="29" customFormat="false" ht="15" hidden="false" customHeight="false" outlineLevel="0" collapsed="false">
      <c r="A29" s="8" t="n">
        <v>26</v>
      </c>
      <c r="B29" s="6"/>
      <c r="C29" s="6"/>
      <c r="D29" s="6"/>
      <c r="E29" s="6"/>
      <c r="F29" s="6"/>
      <c r="G29" s="6"/>
      <c r="H29" s="19" t="n">
        <f aca="false">IF(AND(D29&gt;0,E29&gt;0,F29&gt;0,G29&gt;0),D29*E29*F29*G29/1000,0)</f>
        <v>0</v>
      </c>
      <c r="I29" s="12" t="n">
        <f aca="false">H29*'A. General Energy'!D6</f>
        <v>0</v>
      </c>
      <c r="J29" s="6"/>
    </row>
    <row r="30" customFormat="false" ht="15" hidden="false" customHeight="false" outlineLevel="0" collapsed="false">
      <c r="A30" s="8" t="n">
        <v>27</v>
      </c>
      <c r="B30" s="6"/>
      <c r="C30" s="6"/>
      <c r="D30" s="6"/>
      <c r="E30" s="6"/>
      <c r="F30" s="6"/>
      <c r="G30" s="6"/>
      <c r="H30" s="19" t="n">
        <f aca="false">IF(AND(D30&gt;0,E30&gt;0,F30&gt;0,G30&gt;0),D30*E30*F30*G30/1000,0)</f>
        <v>0</v>
      </c>
      <c r="I30" s="12" t="n">
        <f aca="false">H30*'A. General Energy'!D6</f>
        <v>0</v>
      </c>
      <c r="J30" s="6"/>
    </row>
    <row r="31" customFormat="false" ht="15" hidden="false" customHeight="false" outlineLevel="0" collapsed="false">
      <c r="A31" s="8" t="n">
        <v>28</v>
      </c>
      <c r="B31" s="6"/>
      <c r="C31" s="6"/>
      <c r="D31" s="6"/>
      <c r="E31" s="6"/>
      <c r="F31" s="6"/>
      <c r="G31" s="6"/>
      <c r="H31" s="19" t="n">
        <f aca="false">IF(AND(D31&gt;0,E31&gt;0,F31&gt;0,G31&gt;0),D31*E31*F31*G31/1000,0)</f>
        <v>0</v>
      </c>
      <c r="I31" s="12" t="n">
        <f aca="false">H31*'A. General Energy'!D6</f>
        <v>0</v>
      </c>
      <c r="J31" s="6"/>
    </row>
    <row r="32" customFormat="false" ht="15" hidden="false" customHeight="false" outlineLevel="0" collapsed="false">
      <c r="A32" s="8" t="n">
        <v>29</v>
      </c>
      <c r="B32" s="6"/>
      <c r="C32" s="6"/>
      <c r="D32" s="6"/>
      <c r="E32" s="6"/>
      <c r="F32" s="6"/>
      <c r="G32" s="6"/>
      <c r="H32" s="19" t="n">
        <f aca="false">IF(AND(D32&gt;0,E32&gt;0,F32&gt;0,G32&gt;0),D32*E32*F32*G32/1000,0)</f>
        <v>0</v>
      </c>
      <c r="I32" s="12" t="n">
        <f aca="false">H32*'A. General Energy'!D6</f>
        <v>0</v>
      </c>
      <c r="J32" s="6"/>
    </row>
    <row r="33" customFormat="false" ht="15" hidden="false" customHeight="false" outlineLevel="0" collapsed="false">
      <c r="A33" s="8" t="n">
        <v>30</v>
      </c>
      <c r="B33" s="6"/>
      <c r="C33" s="6"/>
      <c r="D33" s="6"/>
      <c r="E33" s="6"/>
      <c r="F33" s="6"/>
      <c r="G33" s="6"/>
      <c r="H33" s="19" t="n">
        <f aca="false">IF(AND(D33&gt;0,E33&gt;0,F33&gt;0,G33&gt;0),D33*E33*F33*G33/1000,0)</f>
        <v>0</v>
      </c>
      <c r="I33" s="12" t="n">
        <f aca="false">H33*'A. General Energy'!D6</f>
        <v>0</v>
      </c>
      <c r="J33" s="6"/>
    </row>
    <row r="34" customFormat="false" ht="15" hidden="false" customHeight="false" outlineLevel="0" collapsed="false">
      <c r="A34" s="8" t="n">
        <v>31</v>
      </c>
      <c r="B34" s="6"/>
      <c r="C34" s="6"/>
      <c r="D34" s="6"/>
      <c r="E34" s="6"/>
      <c r="F34" s="6"/>
      <c r="G34" s="6"/>
      <c r="H34" s="19" t="n">
        <f aca="false">IF(AND(D34&gt;0,E34&gt;0,F34&gt;0,G34&gt;0),D34*E34*F34*G34/1000,0)</f>
        <v>0</v>
      </c>
      <c r="I34" s="12" t="n">
        <f aca="false">H34*'A. General Energy'!D6</f>
        <v>0</v>
      </c>
      <c r="J34" s="6"/>
    </row>
    <row r="35" customFormat="false" ht="15" hidden="false" customHeight="false" outlineLevel="0" collapsed="false">
      <c r="A35" s="8" t="n">
        <v>32</v>
      </c>
      <c r="B35" s="6"/>
      <c r="C35" s="6"/>
      <c r="D35" s="6"/>
      <c r="E35" s="6"/>
      <c r="F35" s="6"/>
      <c r="G35" s="6"/>
      <c r="H35" s="19" t="n">
        <f aca="false">IF(AND(D35&gt;0,E35&gt;0,F35&gt;0,G35&gt;0),D35*E35*F35*G35/1000,0)</f>
        <v>0</v>
      </c>
      <c r="I35" s="12" t="n">
        <f aca="false">H35*'A. General Energy'!D6</f>
        <v>0</v>
      </c>
      <c r="J35" s="6"/>
    </row>
    <row r="36" customFormat="false" ht="15" hidden="false" customHeight="false" outlineLevel="0" collapsed="false">
      <c r="A36" s="8" t="n">
        <v>33</v>
      </c>
      <c r="B36" s="6"/>
      <c r="C36" s="6"/>
      <c r="D36" s="6"/>
      <c r="E36" s="6"/>
      <c r="F36" s="6"/>
      <c r="G36" s="6"/>
      <c r="H36" s="19" t="n">
        <f aca="false">IF(AND(D36&gt;0,E36&gt;0,F36&gt;0,G36&gt;0),D36*E36*F36*G36/1000,0)</f>
        <v>0</v>
      </c>
      <c r="I36" s="12" t="n">
        <f aca="false">H36*'A. General Energy'!D6</f>
        <v>0</v>
      </c>
      <c r="J36" s="6"/>
    </row>
    <row r="37" customFormat="false" ht="15" hidden="false" customHeight="false" outlineLevel="0" collapsed="false">
      <c r="A37" s="8" t="n">
        <v>34</v>
      </c>
      <c r="B37" s="6"/>
      <c r="C37" s="6"/>
      <c r="D37" s="6"/>
      <c r="E37" s="6"/>
      <c r="F37" s="6"/>
      <c r="G37" s="6"/>
      <c r="H37" s="19" t="n">
        <f aca="false">IF(AND(D37&gt;0,E37&gt;0,F37&gt;0,G37&gt;0),D37*E37*F37*G37/1000,0)</f>
        <v>0</v>
      </c>
      <c r="I37" s="12" t="n">
        <f aca="false">H37*'A. General Energy'!D6</f>
        <v>0</v>
      </c>
      <c r="J37" s="6"/>
    </row>
    <row r="38" customFormat="false" ht="15" hidden="false" customHeight="false" outlineLevel="0" collapsed="false">
      <c r="A38" s="8" t="n">
        <v>35</v>
      </c>
      <c r="B38" s="6"/>
      <c r="C38" s="6"/>
      <c r="D38" s="6"/>
      <c r="E38" s="6"/>
      <c r="F38" s="6"/>
      <c r="G38" s="6"/>
      <c r="H38" s="19" t="n">
        <f aca="false">IF(AND(D38&gt;0,E38&gt;0,F38&gt;0,G38&gt;0),D38*E38*F38*G38/1000,0)</f>
        <v>0</v>
      </c>
      <c r="I38" s="12" t="n">
        <f aca="false">H38*'A. General Energy'!D6</f>
        <v>0</v>
      </c>
      <c r="J38" s="6"/>
    </row>
    <row r="39" customFormat="false" ht="15" hidden="false" customHeight="false" outlineLevel="0" collapsed="false">
      <c r="A39" s="8" t="n">
        <v>36</v>
      </c>
      <c r="B39" s="6"/>
      <c r="C39" s="6"/>
      <c r="D39" s="6"/>
      <c r="E39" s="6"/>
      <c r="F39" s="6"/>
      <c r="G39" s="6"/>
      <c r="H39" s="19" t="n">
        <f aca="false">IF(AND(D39&gt;0,E39&gt;0,F39&gt;0,G39&gt;0),D39*E39*F39*G39/1000,0)</f>
        <v>0</v>
      </c>
      <c r="I39" s="12" t="n">
        <f aca="false">H39*'A. General Energy'!D6</f>
        <v>0</v>
      </c>
      <c r="J39" s="6"/>
    </row>
    <row r="40" customFormat="false" ht="15" hidden="false" customHeight="false" outlineLevel="0" collapsed="false">
      <c r="A40" s="8" t="n">
        <v>37</v>
      </c>
      <c r="B40" s="6"/>
      <c r="C40" s="6"/>
      <c r="D40" s="6"/>
      <c r="E40" s="6"/>
      <c r="F40" s="6"/>
      <c r="G40" s="6"/>
      <c r="H40" s="19" t="n">
        <f aca="false">IF(AND(D40&gt;0,E40&gt;0,F40&gt;0,G40&gt;0),D40*E40*F40*G40/1000,0)</f>
        <v>0</v>
      </c>
      <c r="I40" s="12" t="n">
        <f aca="false">H40*'A. General Energy'!D6</f>
        <v>0</v>
      </c>
      <c r="J40" s="6"/>
    </row>
    <row r="41" customFormat="false" ht="15" hidden="false" customHeight="false" outlineLevel="0" collapsed="false">
      <c r="A41" s="8" t="n">
        <v>38</v>
      </c>
      <c r="B41" s="6"/>
      <c r="C41" s="6"/>
      <c r="D41" s="6"/>
      <c r="E41" s="6"/>
      <c r="F41" s="6"/>
      <c r="G41" s="6"/>
      <c r="H41" s="19" t="n">
        <f aca="false">IF(AND(D41&gt;0,E41&gt;0,F41&gt;0,G41&gt;0),D41*E41*F41*G41/1000,0)</f>
        <v>0</v>
      </c>
      <c r="I41" s="12" t="n">
        <f aca="false">H41*'A. General Energy'!D6</f>
        <v>0</v>
      </c>
      <c r="J41" s="6"/>
    </row>
    <row r="42" customFormat="false" ht="15" hidden="false" customHeight="false" outlineLevel="0" collapsed="false">
      <c r="A42" s="8" t="n">
        <v>39</v>
      </c>
      <c r="B42" s="6"/>
      <c r="C42" s="6"/>
      <c r="D42" s="6"/>
      <c r="E42" s="6"/>
      <c r="F42" s="6"/>
      <c r="G42" s="6"/>
      <c r="H42" s="19" t="n">
        <f aca="false">IF(AND(D42&gt;0,E42&gt;0,F42&gt;0,G42&gt;0),D42*E42*F42*G42/1000,0)</f>
        <v>0</v>
      </c>
      <c r="I42" s="12" t="n">
        <f aca="false">H42*'A. General Energy'!D6</f>
        <v>0</v>
      </c>
      <c r="J42" s="6"/>
    </row>
    <row r="43" customFormat="false" ht="15" hidden="false" customHeight="false" outlineLevel="0" collapsed="false">
      <c r="A43" s="8" t="n">
        <v>40</v>
      </c>
      <c r="B43" s="6"/>
      <c r="C43" s="6"/>
      <c r="D43" s="6"/>
      <c r="E43" s="6"/>
      <c r="F43" s="6"/>
      <c r="G43" s="6"/>
      <c r="H43" s="19" t="n">
        <f aca="false">IF(AND(D43&gt;0,E43&gt;0,F43&gt;0,G43&gt;0),D43*E43*F43*G43/1000,0)</f>
        <v>0</v>
      </c>
      <c r="I43" s="12" t="n">
        <f aca="false">H43*'A. General Energy'!D6</f>
        <v>0</v>
      </c>
      <c r="J43" s="6"/>
    </row>
    <row r="44" customFormat="false" ht="15" hidden="false" customHeight="false" outlineLevel="0" collapsed="false">
      <c r="A44" s="8" t="n">
        <v>41</v>
      </c>
      <c r="B44" s="6"/>
      <c r="C44" s="6"/>
      <c r="D44" s="6"/>
      <c r="E44" s="6"/>
      <c r="F44" s="6"/>
      <c r="G44" s="6"/>
      <c r="H44" s="19" t="n">
        <f aca="false">IF(AND(D44&gt;0,E44&gt;0,F44&gt;0,G44&gt;0),D44*E44*F44*G44/1000,0)</f>
        <v>0</v>
      </c>
      <c r="I44" s="12" t="n">
        <f aca="false">H44*'A. General Energy'!D6</f>
        <v>0</v>
      </c>
      <c r="J44" s="6"/>
    </row>
    <row r="45" customFormat="false" ht="15" hidden="false" customHeight="false" outlineLevel="0" collapsed="false">
      <c r="A45" s="8" t="n">
        <v>42</v>
      </c>
      <c r="B45" s="6"/>
      <c r="C45" s="6"/>
      <c r="D45" s="6"/>
      <c r="E45" s="6"/>
      <c r="F45" s="6"/>
      <c r="G45" s="6"/>
      <c r="H45" s="19" t="n">
        <f aca="false">IF(AND(D45&gt;0,E45&gt;0,F45&gt;0,G45&gt;0),D45*E45*F45*G45/1000,0)</f>
        <v>0</v>
      </c>
      <c r="I45" s="12" t="n">
        <f aca="false">H45*'A. General Energy'!D6</f>
        <v>0</v>
      </c>
      <c r="J45" s="6"/>
    </row>
    <row r="46" customFormat="false" ht="15" hidden="false" customHeight="false" outlineLevel="0" collapsed="false">
      <c r="A46" s="8" t="n">
        <v>43</v>
      </c>
      <c r="B46" s="6"/>
      <c r="C46" s="6"/>
      <c r="D46" s="6"/>
      <c r="E46" s="6"/>
      <c r="F46" s="6"/>
      <c r="G46" s="6"/>
      <c r="H46" s="19" t="n">
        <f aca="false">IF(AND(D46&gt;0,E46&gt;0,F46&gt;0,G46&gt;0),D46*E46*F46*G46/1000,0)</f>
        <v>0</v>
      </c>
      <c r="I46" s="12" t="n">
        <f aca="false">H46*'A. General Energy'!D6</f>
        <v>0</v>
      </c>
      <c r="J46" s="6"/>
    </row>
    <row r="47" customFormat="false" ht="15" hidden="false" customHeight="false" outlineLevel="0" collapsed="false">
      <c r="A47" s="8" t="n">
        <v>44</v>
      </c>
      <c r="B47" s="6"/>
      <c r="C47" s="6"/>
      <c r="D47" s="6"/>
      <c r="E47" s="6"/>
      <c r="F47" s="6"/>
      <c r="G47" s="6"/>
      <c r="H47" s="19" t="n">
        <f aca="false">IF(AND(D47&gt;0,E47&gt;0,F47&gt;0,G47&gt;0),D47*E47*F47*G47/1000,0)</f>
        <v>0</v>
      </c>
      <c r="I47" s="12" t="n">
        <f aca="false">H47*'A. General Energy'!D6</f>
        <v>0</v>
      </c>
      <c r="J47" s="6"/>
    </row>
    <row r="48" customFormat="false" ht="15" hidden="false" customHeight="false" outlineLevel="0" collapsed="false">
      <c r="A48" s="8" t="n">
        <v>45</v>
      </c>
      <c r="B48" s="6"/>
      <c r="C48" s="6"/>
      <c r="D48" s="6"/>
      <c r="E48" s="6"/>
      <c r="F48" s="6"/>
      <c r="G48" s="6"/>
      <c r="H48" s="19" t="n">
        <f aca="false">IF(AND(D48&gt;0,E48&gt;0,F48&gt;0,G48&gt;0),D48*E48*F48*G48/1000,0)</f>
        <v>0</v>
      </c>
      <c r="I48" s="12" t="n">
        <f aca="false">H48*'A. General Energy'!D6</f>
        <v>0</v>
      </c>
      <c r="J48" s="6"/>
    </row>
    <row r="49" customFormat="false" ht="15" hidden="false" customHeight="false" outlineLevel="0" collapsed="false">
      <c r="A49" s="8" t="n">
        <v>46</v>
      </c>
      <c r="B49" s="6"/>
      <c r="C49" s="6"/>
      <c r="D49" s="6"/>
      <c r="E49" s="6"/>
      <c r="F49" s="6"/>
      <c r="G49" s="6"/>
      <c r="H49" s="19" t="n">
        <f aca="false">IF(AND(D49&gt;0,E49&gt;0,F49&gt;0,G49&gt;0),D49*E49*F49*G49/1000,0)</f>
        <v>0</v>
      </c>
      <c r="I49" s="12" t="n">
        <f aca="false">H49*'A. General Energy'!D6</f>
        <v>0</v>
      </c>
      <c r="J49" s="6"/>
    </row>
    <row r="50" customFormat="false" ht="15" hidden="false" customHeight="false" outlineLevel="0" collapsed="false">
      <c r="A50" s="8" t="n">
        <v>47</v>
      </c>
      <c r="B50" s="6"/>
      <c r="C50" s="6"/>
      <c r="D50" s="6"/>
      <c r="E50" s="6"/>
      <c r="F50" s="6"/>
      <c r="G50" s="6"/>
      <c r="H50" s="19" t="n">
        <f aca="false">IF(AND(D50&gt;0,E50&gt;0,F50&gt;0,G50&gt;0),D50*E50*F50*G50/1000,0)</f>
        <v>0</v>
      </c>
      <c r="I50" s="12" t="n">
        <f aca="false">H50*'A. General Energy'!D6</f>
        <v>0</v>
      </c>
      <c r="J50" s="6"/>
    </row>
    <row r="51" customFormat="false" ht="15" hidden="false" customHeight="false" outlineLevel="0" collapsed="false">
      <c r="A51" s="8" t="n">
        <v>48</v>
      </c>
      <c r="B51" s="6"/>
      <c r="C51" s="6"/>
      <c r="D51" s="6"/>
      <c r="E51" s="6"/>
      <c r="F51" s="6"/>
      <c r="G51" s="6"/>
      <c r="H51" s="19" t="n">
        <f aca="false">IF(AND(D51&gt;0,E51&gt;0,F51&gt;0,G51&gt;0),D51*E51*F51*G51/1000,0)</f>
        <v>0</v>
      </c>
      <c r="I51" s="12" t="n">
        <f aca="false">H51*'A. General Energy'!D6</f>
        <v>0</v>
      </c>
      <c r="J51" s="6"/>
    </row>
    <row r="52" customFormat="false" ht="15" hidden="false" customHeight="false" outlineLevel="0" collapsed="false">
      <c r="A52" s="8" t="n">
        <v>49</v>
      </c>
      <c r="B52" s="6"/>
      <c r="C52" s="6"/>
      <c r="D52" s="6"/>
      <c r="E52" s="6"/>
      <c r="F52" s="6"/>
      <c r="G52" s="6"/>
      <c r="H52" s="19" t="n">
        <f aca="false">IF(AND(D52&gt;0,E52&gt;0,F52&gt;0,G52&gt;0),D52*E52*F52*G52/1000,0)</f>
        <v>0</v>
      </c>
      <c r="I52" s="12" t="n">
        <f aca="false">H52*'A. General Energy'!D6</f>
        <v>0</v>
      </c>
      <c r="J52" s="6"/>
    </row>
    <row r="53" customFormat="false" ht="15" hidden="false" customHeight="false" outlineLevel="0" collapsed="false">
      <c r="A53" s="8" t="n">
        <v>50</v>
      </c>
      <c r="B53" s="6"/>
      <c r="C53" s="6"/>
      <c r="D53" s="6"/>
      <c r="E53" s="6"/>
      <c r="F53" s="6"/>
      <c r="G53" s="6"/>
      <c r="H53" s="19" t="n">
        <f aca="false">IF(AND(D53&gt;0,E53&gt;0,F53&gt;0,G53&gt;0),D53*E53*F53*G53/1000,0)</f>
        <v>0</v>
      </c>
      <c r="I53" s="12" t="n">
        <f aca="false">H53*'A. General Energy'!D6</f>
        <v>0</v>
      </c>
      <c r="J53" s="6"/>
    </row>
    <row r="54" customFormat="false" ht="25.5" hidden="false" customHeight="true" outlineLevel="0" collapsed="false">
      <c r="A54" s="3" t="s">
        <v>46</v>
      </c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20" t="s">
        <v>47</v>
      </c>
      <c r="B55" s="20"/>
      <c r="C55" s="20"/>
      <c r="D55" s="15"/>
      <c r="E55" s="21" t="n">
        <f aca="false">SUM(E4:E53)</f>
        <v>0</v>
      </c>
      <c r="F55" s="15"/>
      <c r="G55" s="15"/>
      <c r="H55" s="22" t="n">
        <f aca="false">SUM(H4:H53)</f>
        <v>0</v>
      </c>
      <c r="I55" s="21" t="n">
        <f aca="false">SUM(I4:I53)</f>
        <v>0</v>
      </c>
      <c r="J55" s="15"/>
    </row>
    <row r="57" customFormat="false" ht="25.5" hidden="false" customHeight="true" outlineLevel="0" collapsed="false">
      <c r="A57" s="17" t="s">
        <v>48</v>
      </c>
      <c r="B57" s="17"/>
      <c r="C57" s="17"/>
      <c r="D57" s="17"/>
      <c r="E57" s="17"/>
      <c r="F57" s="17"/>
      <c r="G57" s="17"/>
      <c r="H57" s="17"/>
      <c r="I57" s="17"/>
      <c r="J57" s="17"/>
    </row>
    <row r="58" customFormat="false" ht="15" hidden="false" customHeight="true" outlineLevel="0" collapsed="false">
      <c r="A58" s="23" t="s">
        <v>49</v>
      </c>
      <c r="B58" s="23"/>
      <c r="C58" s="23"/>
      <c r="D58" s="24"/>
      <c r="E58" s="25" t="n">
        <f aca="false">SUMPRODUCT((C4:C53="LED")*E4:E53)</f>
        <v>0</v>
      </c>
      <c r="F58" s="24"/>
      <c r="G58" s="24"/>
      <c r="H58" s="26" t="n">
        <f aca="false">SUMPRODUCT((C4:C53="LED")*H4:H53)</f>
        <v>0</v>
      </c>
      <c r="I58" s="25" t="n">
        <f aca="false">SUMPRODUCT((C4:C53="LED")*I4:I53)</f>
        <v>0</v>
      </c>
      <c r="J58" s="24"/>
    </row>
    <row r="59" customFormat="false" ht="15" hidden="false" customHeight="true" outlineLevel="0" collapsed="false">
      <c r="A59" s="23" t="s">
        <v>50</v>
      </c>
      <c r="B59" s="23"/>
      <c r="C59" s="23"/>
      <c r="D59" s="24"/>
      <c r="E59" s="25" t="n">
        <f aca="false">SUMPRODUCT((C4:C53="CFL")*E4:E53)</f>
        <v>0</v>
      </c>
      <c r="F59" s="24"/>
      <c r="G59" s="24"/>
      <c r="H59" s="26" t="n">
        <f aca="false">SUMPRODUCT((C4:C53="CFL")*H4:H53)</f>
        <v>0</v>
      </c>
      <c r="I59" s="25" t="n">
        <f aca="false">SUMPRODUCT((C4:C53="CFL")*I4:I53)</f>
        <v>0</v>
      </c>
      <c r="J59" s="24"/>
    </row>
    <row r="60" customFormat="false" ht="15" hidden="false" customHeight="true" outlineLevel="0" collapsed="false">
      <c r="A60" s="23" t="s">
        <v>51</v>
      </c>
      <c r="B60" s="23"/>
      <c r="C60" s="23"/>
      <c r="D60" s="24"/>
      <c r="E60" s="25" t="n">
        <f aca="false">SUMPRODUCT((C4:C53="Incandescent")*E4:E53)</f>
        <v>0</v>
      </c>
      <c r="F60" s="24"/>
      <c r="G60" s="24"/>
      <c r="H60" s="26" t="n">
        <f aca="false">SUMPRODUCT((C4:C53="Incandescent")*H4:H53)</f>
        <v>0</v>
      </c>
      <c r="I60" s="25" t="n">
        <f aca="false">SUMPRODUCT((C4:C53="Incandescent")*I4:I53)</f>
        <v>0</v>
      </c>
      <c r="J60" s="24"/>
    </row>
    <row r="61" customFormat="false" ht="15" hidden="false" customHeight="true" outlineLevel="0" collapsed="false">
      <c r="A61" s="23" t="s">
        <v>52</v>
      </c>
      <c r="B61" s="23"/>
      <c r="C61" s="23"/>
      <c r="D61" s="24"/>
      <c r="E61" s="25" t="n">
        <f aca="false">SUMPRODUCT((C4:C53="Tube")*E4:E53)</f>
        <v>0</v>
      </c>
      <c r="F61" s="24"/>
      <c r="G61" s="24"/>
      <c r="H61" s="26" t="n">
        <f aca="false">SUMPRODUCT((C4:C53="Tube")*H4:H53)</f>
        <v>0</v>
      </c>
      <c r="I61" s="25" t="n">
        <f aca="false">SUMPRODUCT((C4:C53="Tube")*I4:I53)</f>
        <v>0</v>
      </c>
      <c r="J61" s="24"/>
    </row>
    <row r="62" customFormat="false" ht="15" hidden="false" customHeight="true" outlineLevel="0" collapsed="false">
      <c r="A62" s="23" t="s">
        <v>53</v>
      </c>
      <c r="B62" s="23"/>
      <c r="C62" s="23"/>
      <c r="D62" s="24"/>
      <c r="E62" s="25" t="n">
        <f aca="false">SUMPRODUCT((C4:C53="Streetlight")*E4:E53)</f>
        <v>0</v>
      </c>
      <c r="F62" s="24"/>
      <c r="G62" s="24"/>
      <c r="H62" s="26" t="n">
        <f aca="false">SUMPRODUCT((C4:C53="Streetlight")*H4:H53)</f>
        <v>0</v>
      </c>
      <c r="I62" s="25" t="n">
        <f aca="false">SUMPRODUCT((C4:C53="Streetlight")*I4:I53)</f>
        <v>0</v>
      </c>
      <c r="J62" s="24"/>
    </row>
    <row r="64" customFormat="false" ht="17.35" hidden="false" customHeight="true" outlineLevel="0" collapsed="false">
      <c r="A64" s="27" t="s">
        <v>54</v>
      </c>
      <c r="B64" s="27"/>
      <c r="C64" s="27"/>
      <c r="D64" s="28"/>
      <c r="E64" s="29" t="n">
        <f aca="false">IF(E55&gt;0,SUMPRODUCT((C4:C53="LED")*E4:E53)/E55*100,0)</f>
        <v>0</v>
      </c>
      <c r="F64" s="28"/>
      <c r="G64" s="28"/>
      <c r="H64" s="28"/>
      <c r="I64" s="28"/>
      <c r="J64" s="28"/>
    </row>
  </sheetData>
  <mergeCells count="11">
    <mergeCell ref="A1:J1"/>
    <mergeCell ref="A2:J2"/>
    <mergeCell ref="A54:J54"/>
    <mergeCell ref="A55:C55"/>
    <mergeCell ref="A57:J57"/>
    <mergeCell ref="A58:C58"/>
    <mergeCell ref="A59:C59"/>
    <mergeCell ref="A60:C60"/>
    <mergeCell ref="A61:C61"/>
    <mergeCell ref="A62:C62"/>
    <mergeCell ref="A64:C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30" t="s">
        <v>55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5.5" hidden="false" customHeight="true" outlineLevel="0" collapsed="false">
      <c r="A2" s="31" t="s">
        <v>56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35.05" hidden="false" customHeight="false" outlineLevel="0" collapsed="false">
      <c r="A3" s="32" t="s">
        <v>25</v>
      </c>
      <c r="B3" s="32" t="s">
        <v>57</v>
      </c>
      <c r="C3" s="32" t="s">
        <v>58</v>
      </c>
      <c r="D3" s="32" t="s">
        <v>40</v>
      </c>
      <c r="E3" s="32" t="s">
        <v>41</v>
      </c>
      <c r="F3" s="32" t="s">
        <v>42</v>
      </c>
      <c r="G3" s="32" t="s">
        <v>43</v>
      </c>
      <c r="H3" s="32" t="s">
        <v>59</v>
      </c>
      <c r="I3" s="32" t="s">
        <v>60</v>
      </c>
      <c r="J3" s="32" t="s">
        <v>61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6"/>
      <c r="F4" s="6"/>
      <c r="G4" s="6"/>
      <c r="H4" s="19" t="n">
        <f aca="false">IF(AND(D4&gt;0,E4&gt;0,F4&gt;0,G4&gt;0),D4*E4*F4*G4/1000,0)</f>
        <v>0</v>
      </c>
      <c r="I4" s="12" t="n">
        <f aca="false">H4*'A. General Energy'!D6</f>
        <v>0</v>
      </c>
      <c r="J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6"/>
      <c r="F5" s="6"/>
      <c r="G5" s="6"/>
      <c r="H5" s="19" t="n">
        <f aca="false">IF(AND(D5&gt;0,E5&gt;0,F5&gt;0,G5&gt;0),D5*E5*F5*G5/1000,0)</f>
        <v>0</v>
      </c>
      <c r="I5" s="12" t="n">
        <f aca="false">H5*'A. General Energy'!D6</f>
        <v>0</v>
      </c>
      <c r="J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6"/>
      <c r="F6" s="6"/>
      <c r="G6" s="6"/>
      <c r="H6" s="19" t="n">
        <f aca="false">IF(AND(D6&gt;0,E6&gt;0,F6&gt;0,G6&gt;0),D6*E6*F6*G6/1000,0)</f>
        <v>0</v>
      </c>
      <c r="I6" s="12" t="n">
        <f aca="false">H6*'A. General Energy'!D6</f>
        <v>0</v>
      </c>
      <c r="J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6"/>
      <c r="F7" s="6"/>
      <c r="G7" s="6"/>
      <c r="H7" s="19" t="n">
        <f aca="false">IF(AND(D7&gt;0,E7&gt;0,F7&gt;0,G7&gt;0),D7*E7*F7*G7/1000,0)</f>
        <v>0</v>
      </c>
      <c r="I7" s="12" t="n">
        <f aca="false">H7*'A. General Energy'!D6</f>
        <v>0</v>
      </c>
      <c r="J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6"/>
      <c r="F8" s="6"/>
      <c r="G8" s="6"/>
      <c r="H8" s="19" t="n">
        <f aca="false">IF(AND(D8&gt;0,E8&gt;0,F8&gt;0,G8&gt;0),D8*E8*F8*G8/1000,0)</f>
        <v>0</v>
      </c>
      <c r="I8" s="12" t="n">
        <f aca="false">H8*'A. General Energy'!D6</f>
        <v>0</v>
      </c>
      <c r="J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6"/>
      <c r="F9" s="6"/>
      <c r="G9" s="6"/>
      <c r="H9" s="19" t="n">
        <f aca="false">IF(AND(D9&gt;0,E9&gt;0,F9&gt;0,G9&gt;0),D9*E9*F9*G9/1000,0)</f>
        <v>0</v>
      </c>
      <c r="I9" s="12" t="n">
        <f aca="false">H9*'A. General Energy'!D6</f>
        <v>0</v>
      </c>
      <c r="J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6"/>
      <c r="F10" s="6"/>
      <c r="G10" s="6"/>
      <c r="H10" s="19" t="n">
        <f aca="false">IF(AND(D10&gt;0,E10&gt;0,F10&gt;0,G10&gt;0),D10*E10*F10*G10/1000,0)</f>
        <v>0</v>
      </c>
      <c r="I10" s="12" t="n">
        <f aca="false">H10*'A. General Energy'!D6</f>
        <v>0</v>
      </c>
      <c r="J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6"/>
      <c r="F11" s="6"/>
      <c r="G11" s="6"/>
      <c r="H11" s="19" t="n">
        <f aca="false">IF(AND(D11&gt;0,E11&gt;0,F11&gt;0,G11&gt;0),D11*E11*F11*G11/1000,0)</f>
        <v>0</v>
      </c>
      <c r="I11" s="12" t="n">
        <f aca="false">H11*'A. General Energy'!D6</f>
        <v>0</v>
      </c>
      <c r="J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6"/>
      <c r="F12" s="6"/>
      <c r="G12" s="6"/>
      <c r="H12" s="19" t="n">
        <f aca="false">IF(AND(D12&gt;0,E12&gt;0,F12&gt;0,G12&gt;0),D12*E12*F12*G12/1000,0)</f>
        <v>0</v>
      </c>
      <c r="I12" s="12" t="n">
        <f aca="false">H12*'A. General Energy'!D6</f>
        <v>0</v>
      </c>
      <c r="J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6"/>
      <c r="F13" s="6"/>
      <c r="G13" s="6"/>
      <c r="H13" s="19" t="n">
        <f aca="false">IF(AND(D13&gt;0,E13&gt;0,F13&gt;0,G13&gt;0),D13*E13*F13*G13/1000,0)</f>
        <v>0</v>
      </c>
      <c r="I13" s="12" t="n">
        <f aca="false">H13*'A. General Energy'!D6</f>
        <v>0</v>
      </c>
      <c r="J13" s="6"/>
    </row>
    <row r="14" customFormat="false" ht="15" hidden="false" customHeight="false" outlineLevel="0" collapsed="false">
      <c r="A14" s="8" t="n">
        <v>11</v>
      </c>
      <c r="B14" s="6"/>
      <c r="C14" s="6"/>
      <c r="D14" s="6"/>
      <c r="E14" s="6"/>
      <c r="F14" s="6"/>
      <c r="G14" s="6"/>
      <c r="H14" s="19" t="n">
        <f aca="false">IF(AND(D14&gt;0,E14&gt;0,F14&gt;0,G14&gt;0),D14*E14*F14*G14/1000,0)</f>
        <v>0</v>
      </c>
      <c r="I14" s="12" t="n">
        <f aca="false">H14*'A. General Energy'!D6</f>
        <v>0</v>
      </c>
      <c r="J14" s="6"/>
    </row>
    <row r="15" customFormat="false" ht="15" hidden="false" customHeight="false" outlineLevel="0" collapsed="false">
      <c r="A15" s="8" t="n">
        <v>12</v>
      </c>
      <c r="B15" s="6"/>
      <c r="C15" s="6"/>
      <c r="D15" s="6"/>
      <c r="E15" s="6"/>
      <c r="F15" s="6"/>
      <c r="G15" s="6"/>
      <c r="H15" s="19" t="n">
        <f aca="false">IF(AND(D15&gt;0,E15&gt;0,F15&gt;0,G15&gt;0),D15*E15*F15*G15/1000,0)</f>
        <v>0</v>
      </c>
      <c r="I15" s="12" t="n">
        <f aca="false">H15*'A. General Energy'!D6</f>
        <v>0</v>
      </c>
      <c r="J15" s="6"/>
    </row>
    <row r="16" customFormat="false" ht="15" hidden="false" customHeight="false" outlineLevel="0" collapsed="false">
      <c r="A16" s="8" t="n">
        <v>13</v>
      </c>
      <c r="B16" s="6"/>
      <c r="C16" s="6"/>
      <c r="D16" s="6"/>
      <c r="E16" s="6"/>
      <c r="F16" s="6"/>
      <c r="G16" s="6"/>
      <c r="H16" s="19" t="n">
        <f aca="false">IF(AND(D16&gt;0,E16&gt;0,F16&gt;0,G16&gt;0),D16*E16*F16*G16/1000,0)</f>
        <v>0</v>
      </c>
      <c r="I16" s="12" t="n">
        <f aca="false">H16*'A. General Energy'!D6</f>
        <v>0</v>
      </c>
      <c r="J16" s="6"/>
    </row>
    <row r="17" customFormat="false" ht="15" hidden="false" customHeight="false" outlineLevel="0" collapsed="false">
      <c r="A17" s="8" t="n">
        <v>14</v>
      </c>
      <c r="B17" s="6"/>
      <c r="C17" s="6"/>
      <c r="D17" s="6"/>
      <c r="E17" s="6"/>
      <c r="F17" s="6"/>
      <c r="G17" s="6"/>
      <c r="H17" s="19" t="n">
        <f aca="false">IF(AND(D17&gt;0,E17&gt;0,F17&gt;0,G17&gt;0),D17*E17*F17*G17/1000,0)</f>
        <v>0</v>
      </c>
      <c r="I17" s="12" t="n">
        <f aca="false">H17*'A. General Energy'!D6</f>
        <v>0</v>
      </c>
      <c r="J17" s="6"/>
    </row>
    <row r="18" customFormat="false" ht="15" hidden="false" customHeight="false" outlineLevel="0" collapsed="false">
      <c r="A18" s="8" t="n">
        <v>15</v>
      </c>
      <c r="B18" s="6"/>
      <c r="C18" s="6"/>
      <c r="D18" s="6"/>
      <c r="E18" s="6"/>
      <c r="F18" s="6"/>
      <c r="G18" s="6"/>
      <c r="H18" s="19" t="n">
        <f aca="false">IF(AND(D18&gt;0,E18&gt;0,F18&gt;0,G18&gt;0),D18*E18*F18*G18/1000,0)</f>
        <v>0</v>
      </c>
      <c r="I18" s="12" t="n">
        <f aca="false">H18*'A. General Energy'!D6</f>
        <v>0</v>
      </c>
      <c r="J18" s="6"/>
    </row>
    <row r="19" customFormat="false" ht="15" hidden="false" customHeight="false" outlineLevel="0" collapsed="false">
      <c r="A19" s="8" t="n">
        <v>16</v>
      </c>
      <c r="B19" s="6"/>
      <c r="C19" s="6"/>
      <c r="D19" s="6"/>
      <c r="E19" s="6"/>
      <c r="F19" s="6"/>
      <c r="G19" s="6"/>
      <c r="H19" s="19" t="n">
        <f aca="false">IF(AND(D19&gt;0,E19&gt;0,F19&gt;0,G19&gt;0),D19*E19*F19*G19/1000,0)</f>
        <v>0</v>
      </c>
      <c r="I19" s="12" t="n">
        <f aca="false">H19*'A. General Energy'!D6</f>
        <v>0</v>
      </c>
      <c r="J19" s="6"/>
    </row>
    <row r="20" customFormat="false" ht="15" hidden="false" customHeight="false" outlineLevel="0" collapsed="false">
      <c r="A20" s="8" t="n">
        <v>17</v>
      </c>
      <c r="B20" s="6"/>
      <c r="C20" s="6"/>
      <c r="D20" s="6"/>
      <c r="E20" s="6"/>
      <c r="F20" s="6"/>
      <c r="G20" s="6"/>
      <c r="H20" s="19" t="n">
        <f aca="false">IF(AND(D20&gt;0,E20&gt;0,F20&gt;0,G20&gt;0),D20*E20*F20*G20/1000,0)</f>
        <v>0</v>
      </c>
      <c r="I20" s="12" t="n">
        <f aca="false">H20*'A. General Energy'!D6</f>
        <v>0</v>
      </c>
      <c r="J20" s="6"/>
    </row>
    <row r="21" customFormat="false" ht="15" hidden="false" customHeight="false" outlineLevel="0" collapsed="false">
      <c r="A21" s="8" t="n">
        <v>18</v>
      </c>
      <c r="B21" s="6"/>
      <c r="C21" s="6"/>
      <c r="D21" s="6"/>
      <c r="E21" s="6"/>
      <c r="F21" s="6"/>
      <c r="G21" s="6"/>
      <c r="H21" s="19" t="n">
        <f aca="false">IF(AND(D21&gt;0,E21&gt;0,F21&gt;0,G21&gt;0),D21*E21*F21*G21/1000,0)</f>
        <v>0</v>
      </c>
      <c r="I21" s="12" t="n">
        <f aca="false">H21*'A. General Energy'!D6</f>
        <v>0</v>
      </c>
      <c r="J21" s="6"/>
    </row>
    <row r="22" customFormat="false" ht="15" hidden="false" customHeight="false" outlineLevel="0" collapsed="false">
      <c r="A22" s="8" t="n">
        <v>19</v>
      </c>
      <c r="B22" s="6"/>
      <c r="C22" s="6"/>
      <c r="D22" s="6"/>
      <c r="E22" s="6"/>
      <c r="F22" s="6"/>
      <c r="G22" s="6"/>
      <c r="H22" s="19" t="n">
        <f aca="false">IF(AND(D22&gt;0,E22&gt;0,F22&gt;0,G22&gt;0),D22*E22*F22*G22/1000,0)</f>
        <v>0</v>
      </c>
      <c r="I22" s="12" t="n">
        <f aca="false">H22*'A. General Energy'!D6</f>
        <v>0</v>
      </c>
      <c r="J22" s="6"/>
    </row>
    <row r="23" customFormat="false" ht="15" hidden="false" customHeight="false" outlineLevel="0" collapsed="false">
      <c r="A23" s="8" t="n">
        <v>20</v>
      </c>
      <c r="B23" s="6"/>
      <c r="C23" s="6"/>
      <c r="D23" s="6"/>
      <c r="E23" s="6"/>
      <c r="F23" s="6"/>
      <c r="G23" s="6"/>
      <c r="H23" s="19" t="n">
        <f aca="false">IF(AND(D23&gt;0,E23&gt;0,F23&gt;0,G23&gt;0),D23*E23*F23*G23/1000,0)</f>
        <v>0</v>
      </c>
      <c r="I23" s="12" t="n">
        <f aca="false">H23*'A. General Energy'!D6</f>
        <v>0</v>
      </c>
      <c r="J23" s="6"/>
    </row>
    <row r="24" customFormat="false" ht="15" hidden="false" customHeight="false" outlineLevel="0" collapsed="false">
      <c r="A24" s="8" t="n">
        <v>21</v>
      </c>
      <c r="B24" s="6"/>
      <c r="C24" s="6"/>
      <c r="D24" s="6"/>
      <c r="E24" s="6"/>
      <c r="F24" s="6"/>
      <c r="G24" s="6"/>
      <c r="H24" s="19" t="n">
        <f aca="false">IF(AND(D24&gt;0,E24&gt;0,F24&gt;0,G24&gt;0),D24*E24*F24*G24/1000,0)</f>
        <v>0</v>
      </c>
      <c r="I24" s="12" t="n">
        <f aca="false">H24*'A. General Energy'!D6</f>
        <v>0</v>
      </c>
      <c r="J24" s="6"/>
    </row>
    <row r="25" customFormat="false" ht="15" hidden="false" customHeight="false" outlineLevel="0" collapsed="false">
      <c r="A25" s="8" t="n">
        <v>22</v>
      </c>
      <c r="B25" s="6"/>
      <c r="C25" s="6"/>
      <c r="D25" s="6"/>
      <c r="E25" s="6"/>
      <c r="F25" s="6"/>
      <c r="G25" s="6"/>
      <c r="H25" s="19" t="n">
        <f aca="false">IF(AND(D25&gt;0,E25&gt;0,F25&gt;0,G25&gt;0),D25*E25*F25*G25/1000,0)</f>
        <v>0</v>
      </c>
      <c r="I25" s="12" t="n">
        <f aca="false">H25*'A. General Energy'!D6</f>
        <v>0</v>
      </c>
      <c r="J25" s="6"/>
    </row>
    <row r="26" customFormat="false" ht="15" hidden="false" customHeight="false" outlineLevel="0" collapsed="false">
      <c r="A26" s="8" t="n">
        <v>23</v>
      </c>
      <c r="B26" s="6"/>
      <c r="C26" s="6"/>
      <c r="D26" s="6"/>
      <c r="E26" s="6"/>
      <c r="F26" s="6"/>
      <c r="G26" s="6"/>
      <c r="H26" s="19" t="n">
        <f aca="false">IF(AND(D26&gt;0,E26&gt;0,F26&gt;0,G26&gt;0),D26*E26*F26*G26/1000,0)</f>
        <v>0</v>
      </c>
      <c r="I26" s="12" t="n">
        <f aca="false">H26*'A. General Energy'!D6</f>
        <v>0</v>
      </c>
      <c r="J26" s="6"/>
    </row>
    <row r="27" customFormat="false" ht="15" hidden="false" customHeight="false" outlineLevel="0" collapsed="false">
      <c r="A27" s="8" t="n">
        <v>24</v>
      </c>
      <c r="B27" s="6"/>
      <c r="C27" s="6"/>
      <c r="D27" s="6"/>
      <c r="E27" s="6"/>
      <c r="F27" s="6"/>
      <c r="G27" s="6"/>
      <c r="H27" s="19" t="n">
        <f aca="false">IF(AND(D27&gt;0,E27&gt;0,F27&gt;0,G27&gt;0),D27*E27*F27*G27/1000,0)</f>
        <v>0</v>
      </c>
      <c r="I27" s="12" t="n">
        <f aca="false">H27*'A. General Energy'!D6</f>
        <v>0</v>
      </c>
      <c r="J27" s="6"/>
    </row>
    <row r="28" customFormat="false" ht="15" hidden="false" customHeight="false" outlineLevel="0" collapsed="false">
      <c r="A28" s="8" t="n">
        <v>25</v>
      </c>
      <c r="B28" s="6"/>
      <c r="C28" s="6"/>
      <c r="D28" s="6"/>
      <c r="E28" s="6"/>
      <c r="F28" s="6"/>
      <c r="G28" s="6"/>
      <c r="H28" s="19" t="n">
        <f aca="false">IF(AND(D28&gt;0,E28&gt;0,F28&gt;0,G28&gt;0),D28*E28*F28*G28/1000,0)</f>
        <v>0</v>
      </c>
      <c r="I28" s="12" t="n">
        <f aca="false">H28*'A. General Energy'!D6</f>
        <v>0</v>
      </c>
      <c r="J28" s="6"/>
    </row>
    <row r="29" customFormat="false" ht="15" hidden="false" customHeight="false" outlineLevel="0" collapsed="false">
      <c r="A29" s="8" t="n">
        <v>26</v>
      </c>
      <c r="B29" s="6"/>
      <c r="C29" s="6"/>
      <c r="D29" s="6"/>
      <c r="E29" s="6"/>
      <c r="F29" s="6"/>
      <c r="G29" s="6"/>
      <c r="H29" s="19" t="n">
        <f aca="false">IF(AND(D29&gt;0,E29&gt;0,F29&gt;0,G29&gt;0),D29*E29*F29*G29/1000,0)</f>
        <v>0</v>
      </c>
      <c r="I29" s="12" t="n">
        <f aca="false">H29*'A. General Energy'!D6</f>
        <v>0</v>
      </c>
      <c r="J29" s="6"/>
    </row>
    <row r="30" customFormat="false" ht="15" hidden="false" customHeight="false" outlineLevel="0" collapsed="false">
      <c r="A30" s="8" t="n">
        <v>27</v>
      </c>
      <c r="B30" s="6"/>
      <c r="C30" s="6"/>
      <c r="D30" s="6"/>
      <c r="E30" s="6"/>
      <c r="F30" s="6"/>
      <c r="G30" s="6"/>
      <c r="H30" s="19" t="n">
        <f aca="false">IF(AND(D30&gt;0,E30&gt;0,F30&gt;0,G30&gt;0),D30*E30*F30*G30/1000,0)</f>
        <v>0</v>
      </c>
      <c r="I30" s="12" t="n">
        <f aca="false">H30*'A. General Energy'!D6</f>
        <v>0</v>
      </c>
      <c r="J30" s="6"/>
    </row>
    <row r="31" customFormat="false" ht="15" hidden="false" customHeight="false" outlineLevel="0" collapsed="false">
      <c r="A31" s="8" t="n">
        <v>28</v>
      </c>
      <c r="B31" s="6"/>
      <c r="C31" s="6"/>
      <c r="D31" s="6"/>
      <c r="E31" s="6"/>
      <c r="F31" s="6"/>
      <c r="G31" s="6"/>
      <c r="H31" s="19" t="n">
        <f aca="false">IF(AND(D31&gt;0,E31&gt;0,F31&gt;0,G31&gt;0),D31*E31*F31*G31/1000,0)</f>
        <v>0</v>
      </c>
      <c r="I31" s="12" t="n">
        <f aca="false">H31*'A. General Energy'!D6</f>
        <v>0</v>
      </c>
      <c r="J31" s="6"/>
    </row>
    <row r="32" customFormat="false" ht="15" hidden="false" customHeight="false" outlineLevel="0" collapsed="false">
      <c r="A32" s="8" t="n">
        <v>29</v>
      </c>
      <c r="B32" s="6"/>
      <c r="C32" s="6"/>
      <c r="D32" s="6"/>
      <c r="E32" s="6"/>
      <c r="F32" s="6"/>
      <c r="G32" s="6"/>
      <c r="H32" s="19" t="n">
        <f aca="false">IF(AND(D32&gt;0,E32&gt;0,F32&gt;0,G32&gt;0),D32*E32*F32*G32/1000,0)</f>
        <v>0</v>
      </c>
      <c r="I32" s="12" t="n">
        <f aca="false">H32*'A. General Energy'!D6</f>
        <v>0</v>
      </c>
      <c r="J32" s="6"/>
    </row>
    <row r="33" customFormat="false" ht="15" hidden="false" customHeight="false" outlineLevel="0" collapsed="false">
      <c r="A33" s="8" t="n">
        <v>30</v>
      </c>
      <c r="B33" s="6"/>
      <c r="C33" s="6"/>
      <c r="D33" s="6"/>
      <c r="E33" s="6"/>
      <c r="F33" s="6"/>
      <c r="G33" s="6"/>
      <c r="H33" s="19" t="n">
        <f aca="false">IF(AND(D33&gt;0,E33&gt;0,F33&gt;0,G33&gt;0),D33*E33*F33*G33/1000,0)</f>
        <v>0</v>
      </c>
      <c r="I33" s="12" t="n">
        <f aca="false">H33*'A. General Energy'!D6</f>
        <v>0</v>
      </c>
      <c r="J33" s="6"/>
    </row>
    <row r="34" customFormat="false" ht="15" hidden="false" customHeight="false" outlineLevel="0" collapsed="false">
      <c r="A34" s="8" t="n">
        <v>31</v>
      </c>
      <c r="B34" s="6"/>
      <c r="C34" s="6"/>
      <c r="D34" s="6"/>
      <c r="E34" s="6"/>
      <c r="F34" s="6"/>
      <c r="G34" s="6"/>
      <c r="H34" s="19" t="n">
        <f aca="false">IF(AND(D34&gt;0,E34&gt;0,F34&gt;0,G34&gt;0),D34*E34*F34*G34/1000,0)</f>
        <v>0</v>
      </c>
      <c r="I34" s="12" t="n">
        <f aca="false">H34*'A. General Energy'!D6</f>
        <v>0</v>
      </c>
      <c r="J34" s="6"/>
    </row>
    <row r="35" customFormat="false" ht="15" hidden="false" customHeight="false" outlineLevel="0" collapsed="false">
      <c r="A35" s="8" t="n">
        <v>32</v>
      </c>
      <c r="B35" s="6"/>
      <c r="C35" s="6"/>
      <c r="D35" s="6"/>
      <c r="E35" s="6"/>
      <c r="F35" s="6"/>
      <c r="G35" s="6"/>
      <c r="H35" s="19" t="n">
        <f aca="false">IF(AND(D35&gt;0,E35&gt;0,F35&gt;0,G35&gt;0),D35*E35*F35*G35/1000,0)</f>
        <v>0</v>
      </c>
      <c r="I35" s="12" t="n">
        <f aca="false">H35*'A. General Energy'!D6</f>
        <v>0</v>
      </c>
      <c r="J35" s="6"/>
    </row>
    <row r="36" customFormat="false" ht="15" hidden="false" customHeight="false" outlineLevel="0" collapsed="false">
      <c r="A36" s="8" t="n">
        <v>33</v>
      </c>
      <c r="B36" s="6"/>
      <c r="C36" s="6"/>
      <c r="D36" s="6"/>
      <c r="E36" s="6"/>
      <c r="F36" s="6"/>
      <c r="G36" s="6"/>
      <c r="H36" s="19" t="n">
        <f aca="false">IF(AND(D36&gt;0,E36&gt;0,F36&gt;0,G36&gt;0),D36*E36*F36*G36/1000,0)</f>
        <v>0</v>
      </c>
      <c r="I36" s="12" t="n">
        <f aca="false">H36*'A. General Energy'!D6</f>
        <v>0</v>
      </c>
      <c r="J36" s="6"/>
    </row>
    <row r="37" customFormat="false" ht="15" hidden="false" customHeight="false" outlineLevel="0" collapsed="false">
      <c r="A37" s="8" t="n">
        <v>34</v>
      </c>
      <c r="B37" s="6"/>
      <c r="C37" s="6"/>
      <c r="D37" s="6"/>
      <c r="E37" s="6"/>
      <c r="F37" s="6"/>
      <c r="G37" s="6"/>
      <c r="H37" s="19" t="n">
        <f aca="false">IF(AND(D37&gt;0,E37&gt;0,F37&gt;0,G37&gt;0),D37*E37*F37*G37/1000,0)</f>
        <v>0</v>
      </c>
      <c r="I37" s="12" t="n">
        <f aca="false">H37*'A. General Energy'!D6</f>
        <v>0</v>
      </c>
      <c r="J37" s="6"/>
    </row>
    <row r="38" customFormat="false" ht="15" hidden="false" customHeight="false" outlineLevel="0" collapsed="false">
      <c r="A38" s="8" t="n">
        <v>35</v>
      </c>
      <c r="B38" s="6"/>
      <c r="C38" s="6"/>
      <c r="D38" s="6"/>
      <c r="E38" s="6"/>
      <c r="F38" s="6"/>
      <c r="G38" s="6"/>
      <c r="H38" s="19" t="n">
        <f aca="false">IF(AND(D38&gt;0,E38&gt;0,F38&gt;0,G38&gt;0),D38*E38*F38*G38/1000,0)</f>
        <v>0</v>
      </c>
      <c r="I38" s="12" t="n">
        <f aca="false">H38*'A. General Energy'!D6</f>
        <v>0</v>
      </c>
      <c r="J38" s="6"/>
    </row>
    <row r="39" customFormat="false" ht="15" hidden="false" customHeight="false" outlineLevel="0" collapsed="false">
      <c r="A39" s="8" t="n">
        <v>36</v>
      </c>
      <c r="B39" s="6"/>
      <c r="C39" s="6"/>
      <c r="D39" s="6"/>
      <c r="E39" s="6"/>
      <c r="F39" s="6"/>
      <c r="G39" s="6"/>
      <c r="H39" s="19" t="n">
        <f aca="false">IF(AND(D39&gt;0,E39&gt;0,F39&gt;0,G39&gt;0),D39*E39*F39*G39/1000,0)</f>
        <v>0</v>
      </c>
      <c r="I39" s="12" t="n">
        <f aca="false">H39*'A. General Energy'!D6</f>
        <v>0</v>
      </c>
      <c r="J39" s="6"/>
    </row>
    <row r="40" customFormat="false" ht="15" hidden="false" customHeight="false" outlineLevel="0" collapsed="false">
      <c r="A40" s="8" t="n">
        <v>37</v>
      </c>
      <c r="B40" s="6"/>
      <c r="C40" s="6"/>
      <c r="D40" s="6"/>
      <c r="E40" s="6"/>
      <c r="F40" s="6"/>
      <c r="G40" s="6"/>
      <c r="H40" s="19" t="n">
        <f aca="false">IF(AND(D40&gt;0,E40&gt;0,F40&gt;0,G40&gt;0),D40*E40*F40*G40/1000,0)</f>
        <v>0</v>
      </c>
      <c r="I40" s="12" t="n">
        <f aca="false">H40*'A. General Energy'!D6</f>
        <v>0</v>
      </c>
      <c r="J40" s="6"/>
    </row>
    <row r="41" customFormat="false" ht="15" hidden="false" customHeight="false" outlineLevel="0" collapsed="false">
      <c r="A41" s="8" t="n">
        <v>38</v>
      </c>
      <c r="B41" s="6"/>
      <c r="C41" s="6"/>
      <c r="D41" s="6"/>
      <c r="E41" s="6"/>
      <c r="F41" s="6"/>
      <c r="G41" s="6"/>
      <c r="H41" s="19" t="n">
        <f aca="false">IF(AND(D41&gt;0,E41&gt;0,F41&gt;0,G41&gt;0),D41*E41*F41*G41/1000,0)</f>
        <v>0</v>
      </c>
      <c r="I41" s="12" t="n">
        <f aca="false">H41*'A. General Energy'!D6</f>
        <v>0</v>
      </c>
      <c r="J41" s="6"/>
    </row>
    <row r="42" customFormat="false" ht="15" hidden="false" customHeight="false" outlineLevel="0" collapsed="false">
      <c r="A42" s="8" t="n">
        <v>39</v>
      </c>
      <c r="B42" s="6"/>
      <c r="C42" s="6"/>
      <c r="D42" s="6"/>
      <c r="E42" s="6"/>
      <c r="F42" s="6"/>
      <c r="G42" s="6"/>
      <c r="H42" s="19" t="n">
        <f aca="false">IF(AND(D42&gt;0,E42&gt;0,F42&gt;0,G42&gt;0),D42*E42*F42*G42/1000,0)</f>
        <v>0</v>
      </c>
      <c r="I42" s="12" t="n">
        <f aca="false">H42*'A. General Energy'!D6</f>
        <v>0</v>
      </c>
      <c r="J42" s="6"/>
    </row>
    <row r="43" customFormat="false" ht="15" hidden="false" customHeight="false" outlineLevel="0" collapsed="false">
      <c r="A43" s="8" t="n">
        <v>40</v>
      </c>
      <c r="B43" s="6"/>
      <c r="C43" s="6"/>
      <c r="D43" s="6"/>
      <c r="E43" s="6"/>
      <c r="F43" s="6"/>
      <c r="G43" s="6"/>
      <c r="H43" s="19" t="n">
        <f aca="false">IF(AND(D43&gt;0,E43&gt;0,F43&gt;0,G43&gt;0),D43*E43*F43*G43/1000,0)</f>
        <v>0</v>
      </c>
      <c r="I43" s="12" t="n">
        <f aca="false">H43*'A. General Energy'!D6</f>
        <v>0</v>
      </c>
      <c r="J43" s="6"/>
    </row>
    <row r="44" customFormat="false" ht="15" hidden="false" customHeight="false" outlineLevel="0" collapsed="false">
      <c r="A44" s="8" t="n">
        <v>41</v>
      </c>
      <c r="B44" s="6"/>
      <c r="C44" s="6"/>
      <c r="D44" s="6"/>
      <c r="E44" s="6"/>
      <c r="F44" s="6"/>
      <c r="G44" s="6"/>
      <c r="H44" s="19" t="n">
        <f aca="false">IF(AND(D44&gt;0,E44&gt;0,F44&gt;0,G44&gt;0),D44*E44*F44*G44/1000,0)</f>
        <v>0</v>
      </c>
      <c r="I44" s="12" t="n">
        <f aca="false">H44*'A. General Energy'!D6</f>
        <v>0</v>
      </c>
      <c r="J44" s="6"/>
    </row>
    <row r="45" customFormat="false" ht="15" hidden="false" customHeight="false" outlineLevel="0" collapsed="false">
      <c r="A45" s="8" t="n">
        <v>42</v>
      </c>
      <c r="B45" s="6"/>
      <c r="C45" s="6"/>
      <c r="D45" s="6"/>
      <c r="E45" s="6"/>
      <c r="F45" s="6"/>
      <c r="G45" s="6"/>
      <c r="H45" s="19" t="n">
        <f aca="false">IF(AND(D45&gt;0,E45&gt;0,F45&gt;0,G45&gt;0),D45*E45*F45*G45/1000,0)</f>
        <v>0</v>
      </c>
      <c r="I45" s="12" t="n">
        <f aca="false">H45*'A. General Energy'!D6</f>
        <v>0</v>
      </c>
      <c r="J45" s="6"/>
    </row>
    <row r="46" customFormat="false" ht="15" hidden="false" customHeight="false" outlineLevel="0" collapsed="false">
      <c r="A46" s="8" t="n">
        <v>43</v>
      </c>
      <c r="B46" s="6"/>
      <c r="C46" s="6"/>
      <c r="D46" s="6"/>
      <c r="E46" s="6"/>
      <c r="F46" s="6"/>
      <c r="G46" s="6"/>
      <c r="H46" s="19" t="n">
        <f aca="false">IF(AND(D46&gt;0,E46&gt;0,F46&gt;0,G46&gt;0),D46*E46*F46*G46/1000,0)</f>
        <v>0</v>
      </c>
      <c r="I46" s="12" t="n">
        <f aca="false">H46*'A. General Energy'!D6</f>
        <v>0</v>
      </c>
      <c r="J46" s="6"/>
    </row>
    <row r="47" customFormat="false" ht="15" hidden="false" customHeight="false" outlineLevel="0" collapsed="false">
      <c r="A47" s="8" t="n">
        <v>44</v>
      </c>
      <c r="B47" s="6"/>
      <c r="C47" s="6"/>
      <c r="D47" s="6"/>
      <c r="E47" s="6"/>
      <c r="F47" s="6"/>
      <c r="G47" s="6"/>
      <c r="H47" s="19" t="n">
        <f aca="false">IF(AND(D47&gt;0,E47&gt;0,F47&gt;0,G47&gt;0),D47*E47*F47*G47/1000,0)</f>
        <v>0</v>
      </c>
      <c r="I47" s="12" t="n">
        <f aca="false">H47*'A. General Energy'!D6</f>
        <v>0</v>
      </c>
      <c r="J47" s="6"/>
    </row>
    <row r="48" customFormat="false" ht="15" hidden="false" customHeight="false" outlineLevel="0" collapsed="false">
      <c r="A48" s="8" t="n">
        <v>45</v>
      </c>
      <c r="B48" s="6"/>
      <c r="C48" s="6"/>
      <c r="D48" s="6"/>
      <c r="E48" s="6"/>
      <c r="F48" s="6"/>
      <c r="G48" s="6"/>
      <c r="H48" s="19" t="n">
        <f aca="false">IF(AND(D48&gt;0,E48&gt;0,F48&gt;0,G48&gt;0),D48*E48*F48*G48/1000,0)</f>
        <v>0</v>
      </c>
      <c r="I48" s="12" t="n">
        <f aca="false">H48*'A. General Energy'!D6</f>
        <v>0</v>
      </c>
      <c r="J48" s="6"/>
    </row>
    <row r="49" customFormat="false" ht="15" hidden="false" customHeight="false" outlineLevel="0" collapsed="false">
      <c r="A49" s="8" t="n">
        <v>46</v>
      </c>
      <c r="B49" s="6"/>
      <c r="C49" s="6"/>
      <c r="D49" s="6"/>
      <c r="E49" s="6"/>
      <c r="F49" s="6"/>
      <c r="G49" s="6"/>
      <c r="H49" s="19" t="n">
        <f aca="false">IF(AND(D49&gt;0,E49&gt;0,F49&gt;0,G49&gt;0),D49*E49*F49*G49/1000,0)</f>
        <v>0</v>
      </c>
      <c r="I49" s="12" t="n">
        <f aca="false">H49*'A. General Energy'!D6</f>
        <v>0</v>
      </c>
      <c r="J49" s="6"/>
    </row>
    <row r="50" customFormat="false" ht="15" hidden="false" customHeight="false" outlineLevel="0" collapsed="false">
      <c r="A50" s="8" t="n">
        <v>47</v>
      </c>
      <c r="B50" s="6"/>
      <c r="C50" s="6"/>
      <c r="D50" s="6"/>
      <c r="E50" s="6"/>
      <c r="F50" s="6"/>
      <c r="G50" s="6"/>
      <c r="H50" s="19" t="n">
        <f aca="false">IF(AND(D50&gt;0,E50&gt;0,F50&gt;0,G50&gt;0),D50*E50*F50*G50/1000,0)</f>
        <v>0</v>
      </c>
      <c r="I50" s="12" t="n">
        <f aca="false">H50*'A. General Energy'!D6</f>
        <v>0</v>
      </c>
      <c r="J50" s="6"/>
    </row>
    <row r="51" customFormat="false" ht="15" hidden="false" customHeight="false" outlineLevel="0" collapsed="false">
      <c r="A51" s="8" t="n">
        <v>48</v>
      </c>
      <c r="B51" s="6"/>
      <c r="C51" s="6"/>
      <c r="D51" s="6"/>
      <c r="E51" s="6"/>
      <c r="F51" s="6"/>
      <c r="G51" s="6"/>
      <c r="H51" s="19" t="n">
        <f aca="false">IF(AND(D51&gt;0,E51&gt;0,F51&gt;0,G51&gt;0),D51*E51*F51*G51/1000,0)</f>
        <v>0</v>
      </c>
      <c r="I51" s="12" t="n">
        <f aca="false">H51*'A. General Energy'!D6</f>
        <v>0</v>
      </c>
      <c r="J51" s="6"/>
    </row>
    <row r="52" customFormat="false" ht="15" hidden="false" customHeight="false" outlineLevel="0" collapsed="false">
      <c r="A52" s="8" t="n">
        <v>49</v>
      </c>
      <c r="B52" s="6"/>
      <c r="C52" s="6"/>
      <c r="D52" s="6"/>
      <c r="E52" s="6"/>
      <c r="F52" s="6"/>
      <c r="G52" s="6"/>
      <c r="H52" s="19" t="n">
        <f aca="false">IF(AND(D52&gt;0,E52&gt;0,F52&gt;0,G52&gt;0),D52*E52*F52*G52/1000,0)</f>
        <v>0</v>
      </c>
      <c r="I52" s="12" t="n">
        <f aca="false">H52*'A. General Energy'!D6</f>
        <v>0</v>
      </c>
      <c r="J52" s="6"/>
    </row>
    <row r="53" customFormat="false" ht="15" hidden="false" customHeight="false" outlineLevel="0" collapsed="false">
      <c r="A53" s="8" t="n">
        <v>50</v>
      </c>
      <c r="B53" s="6"/>
      <c r="C53" s="6"/>
      <c r="D53" s="6"/>
      <c r="E53" s="6"/>
      <c r="F53" s="6"/>
      <c r="G53" s="6"/>
      <c r="H53" s="19" t="n">
        <f aca="false">IF(AND(D53&gt;0,E53&gt;0,F53&gt;0,G53&gt;0),D53*E53*F53*G53/1000,0)</f>
        <v>0</v>
      </c>
      <c r="I53" s="12" t="n">
        <f aca="false">H53*'A. General Energy'!D6</f>
        <v>0</v>
      </c>
      <c r="J53" s="6"/>
    </row>
    <row r="54" customFormat="false" ht="25.5" hidden="false" customHeight="true" outlineLevel="0" collapsed="false">
      <c r="A54" s="3" t="s">
        <v>62</v>
      </c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3" t="s">
        <v>63</v>
      </c>
      <c r="B55" s="33"/>
      <c r="C55" s="33"/>
      <c r="D55" s="15"/>
      <c r="E55" s="21" t="n">
        <f aca="false">SUM(E4:E53)</f>
        <v>0</v>
      </c>
      <c r="F55" s="15"/>
      <c r="G55" s="15"/>
      <c r="H55" s="34" t="n">
        <f aca="false">SUM(H4:H53)</f>
        <v>0</v>
      </c>
      <c r="I55" s="21" t="n">
        <f aca="false">SUM(I4:I53)</f>
        <v>0</v>
      </c>
      <c r="J55" s="15"/>
    </row>
    <row r="57" customFormat="false" ht="15" hidden="false" customHeight="true" outlineLevel="0" collapsed="false">
      <c r="A57" s="23" t="s">
        <v>64</v>
      </c>
      <c r="B57" s="23"/>
      <c r="C57" s="23"/>
      <c r="D57" s="24"/>
      <c r="E57" s="25" t="n">
        <f aca="false">SUMPRODUCT((C4:C53="Fan")*E4:E53)</f>
        <v>0</v>
      </c>
      <c r="F57" s="24"/>
      <c r="G57" s="24"/>
      <c r="H57" s="26" t="n">
        <f aca="false">SUMPRODUCT((C4:C53="Fan")*H4:H53)</f>
        <v>0</v>
      </c>
      <c r="I57" s="24"/>
      <c r="J57" s="24"/>
    </row>
    <row r="58" customFormat="false" ht="15" hidden="false" customHeight="true" outlineLevel="0" collapsed="false">
      <c r="A58" s="23" t="s">
        <v>65</v>
      </c>
      <c r="B58" s="23"/>
      <c r="C58" s="23"/>
      <c r="D58" s="24"/>
      <c r="E58" s="25" t="n">
        <f aca="false">SUMPRODUCT((C4:C53="AC")*E4:E53)</f>
        <v>0</v>
      </c>
      <c r="F58" s="24"/>
      <c r="G58" s="24"/>
      <c r="H58" s="26" t="n">
        <f aca="false">SUMPRODUCT((C4:C53="AC")*H4:H53)</f>
        <v>0</v>
      </c>
      <c r="I58" s="24"/>
      <c r="J58" s="24"/>
    </row>
    <row r="59" customFormat="false" ht="15" hidden="false" customHeight="true" outlineLevel="0" collapsed="false">
      <c r="A59" s="23" t="s">
        <v>66</v>
      </c>
      <c r="B59" s="23"/>
      <c r="C59" s="23"/>
      <c r="D59" s="24"/>
      <c r="E59" s="25" t="n">
        <f aca="false">SUMPRODUCT((C4:C53="Water Cooler")*E4:E53)</f>
        <v>0</v>
      </c>
      <c r="F59" s="24"/>
      <c r="G59" s="24"/>
      <c r="H59" s="26" t="n">
        <f aca="false">SUMPRODUCT((C4:C53="Water Cooler")*H4:H53)</f>
        <v>0</v>
      </c>
      <c r="I59" s="24"/>
      <c r="J59" s="24"/>
    </row>
    <row r="60" customFormat="false" ht="15" hidden="false" customHeight="true" outlineLevel="0" collapsed="false">
      <c r="A60" s="23" t="s">
        <v>67</v>
      </c>
      <c r="B60" s="23"/>
      <c r="C60" s="23"/>
      <c r="D60" s="24"/>
      <c r="E60" s="25" t="n">
        <f aca="false">SUMPRODUCT((C4:C53="Refrigerator")*E4:E53)</f>
        <v>0</v>
      </c>
      <c r="F60" s="24"/>
      <c r="G60" s="24"/>
      <c r="H60" s="26" t="n">
        <f aca="false">SUMPRODUCT((C4:C53="Refrigerator")*H4:H53)</f>
        <v>0</v>
      </c>
      <c r="I60" s="24"/>
      <c r="J60" s="24"/>
    </row>
    <row r="61" customFormat="false" ht="15" hidden="false" customHeight="true" outlineLevel="0" collapsed="false">
      <c r="A61" s="23" t="s">
        <v>68</v>
      </c>
      <c r="B61" s="23"/>
      <c r="C61" s="23"/>
      <c r="D61" s="24"/>
      <c r="E61" s="25" t="n">
        <f aca="false">SUMPRODUCT((C4:C53="Heater")*E4:E53)</f>
        <v>0</v>
      </c>
      <c r="F61" s="24"/>
      <c r="G61" s="24"/>
      <c r="H61" s="26" t="n">
        <f aca="false">SUMPRODUCT((C4:C53="Heater")*H4:H53)</f>
        <v>0</v>
      </c>
      <c r="I61" s="24"/>
      <c r="J61" s="24"/>
    </row>
  </sheetData>
  <mergeCells count="9">
    <mergeCell ref="A1:J1"/>
    <mergeCell ref="A2:J2"/>
    <mergeCell ref="A54:J54"/>
    <mergeCell ref="A55:C55"/>
    <mergeCell ref="A57:C57"/>
    <mergeCell ref="A58:C58"/>
    <mergeCell ref="A59:C59"/>
    <mergeCell ref="A60:C60"/>
    <mergeCell ref="A61:C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35" t="s">
        <v>69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customFormat="false" ht="25.5" hidden="false" customHeight="true" outlineLevel="0" collapsed="false">
      <c r="A2" s="36" t="s">
        <v>70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customFormat="false" ht="35.05" hidden="false" customHeight="false" outlineLevel="0" collapsed="false">
      <c r="A3" s="37" t="s">
        <v>25</v>
      </c>
      <c r="B3" s="37" t="s">
        <v>71</v>
      </c>
      <c r="C3" s="37" t="s">
        <v>72</v>
      </c>
      <c r="D3" s="37" t="s">
        <v>40</v>
      </c>
      <c r="E3" s="37" t="s">
        <v>41</v>
      </c>
      <c r="F3" s="37" t="s">
        <v>42</v>
      </c>
      <c r="G3" s="37" t="s">
        <v>43</v>
      </c>
      <c r="H3" s="37" t="s">
        <v>59</v>
      </c>
      <c r="I3" s="37" t="s">
        <v>60</v>
      </c>
      <c r="J3" s="37" t="s">
        <v>73</v>
      </c>
      <c r="K3" s="37" t="s">
        <v>74</v>
      </c>
      <c r="L3" s="37" t="s">
        <v>6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6"/>
      <c r="F4" s="6"/>
      <c r="G4" s="6"/>
      <c r="H4" s="19" t="n">
        <f aca="false">IF(AND(D4&gt;0,E4&gt;0,F4&gt;0,G4&gt;0),D4*E4*F4*G4/1000,0)</f>
        <v>0</v>
      </c>
      <c r="I4" s="12" t="n">
        <f aca="false">H4*'A. General Energy'!D6</f>
        <v>0</v>
      </c>
      <c r="J4" s="6"/>
      <c r="K4" s="6"/>
      <c r="L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6"/>
      <c r="F5" s="6"/>
      <c r="G5" s="6"/>
      <c r="H5" s="19" t="n">
        <f aca="false">IF(AND(D5&gt;0,E5&gt;0,F5&gt;0,G5&gt;0),D5*E5*F5*G5/1000,0)</f>
        <v>0</v>
      </c>
      <c r="I5" s="12" t="n">
        <f aca="false">H5*'A. General Energy'!D6</f>
        <v>0</v>
      </c>
      <c r="J5" s="6"/>
      <c r="K5" s="6"/>
      <c r="L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6"/>
      <c r="F6" s="6"/>
      <c r="G6" s="6"/>
      <c r="H6" s="19" t="n">
        <f aca="false">IF(AND(D6&gt;0,E6&gt;0,F6&gt;0,G6&gt;0),D6*E6*F6*G6/1000,0)</f>
        <v>0</v>
      </c>
      <c r="I6" s="12" t="n">
        <f aca="false">H6*'A. General Energy'!D6</f>
        <v>0</v>
      </c>
      <c r="J6" s="6"/>
      <c r="K6" s="6"/>
      <c r="L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6"/>
      <c r="F7" s="6"/>
      <c r="G7" s="6"/>
      <c r="H7" s="19" t="n">
        <f aca="false">IF(AND(D7&gt;0,E7&gt;0,F7&gt;0,G7&gt;0),D7*E7*F7*G7/1000,0)</f>
        <v>0</v>
      </c>
      <c r="I7" s="12" t="n">
        <f aca="false">H7*'A. General Energy'!D6</f>
        <v>0</v>
      </c>
      <c r="J7" s="6"/>
      <c r="K7" s="6"/>
      <c r="L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6"/>
      <c r="F8" s="6"/>
      <c r="G8" s="6"/>
      <c r="H8" s="19" t="n">
        <f aca="false">IF(AND(D8&gt;0,E8&gt;0,F8&gt;0,G8&gt;0),D8*E8*F8*G8/1000,0)</f>
        <v>0</v>
      </c>
      <c r="I8" s="12" t="n">
        <f aca="false">H8*'A. General Energy'!D6</f>
        <v>0</v>
      </c>
      <c r="J8" s="6"/>
      <c r="K8" s="6"/>
      <c r="L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6"/>
      <c r="F9" s="6"/>
      <c r="G9" s="6"/>
      <c r="H9" s="19" t="n">
        <f aca="false">IF(AND(D9&gt;0,E9&gt;0,F9&gt;0,G9&gt;0),D9*E9*F9*G9/1000,0)</f>
        <v>0</v>
      </c>
      <c r="I9" s="12" t="n">
        <f aca="false">H9*'A. General Energy'!D6</f>
        <v>0</v>
      </c>
      <c r="J9" s="6"/>
      <c r="K9" s="6"/>
      <c r="L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6"/>
      <c r="F10" s="6"/>
      <c r="G10" s="6"/>
      <c r="H10" s="19" t="n">
        <f aca="false">IF(AND(D10&gt;0,E10&gt;0,F10&gt;0,G10&gt;0),D10*E10*F10*G10/1000,0)</f>
        <v>0</v>
      </c>
      <c r="I10" s="12" t="n">
        <f aca="false">H10*'A. General Energy'!D6</f>
        <v>0</v>
      </c>
      <c r="J10" s="6"/>
      <c r="K10" s="6"/>
      <c r="L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6"/>
      <c r="F11" s="6"/>
      <c r="G11" s="6"/>
      <c r="H11" s="19" t="n">
        <f aca="false">IF(AND(D11&gt;0,E11&gt;0,F11&gt;0,G11&gt;0),D11*E11*F11*G11/1000,0)</f>
        <v>0</v>
      </c>
      <c r="I11" s="12" t="n">
        <f aca="false">H11*'A. General Energy'!D6</f>
        <v>0</v>
      </c>
      <c r="J11" s="6"/>
      <c r="K11" s="6"/>
      <c r="L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6"/>
      <c r="F12" s="6"/>
      <c r="G12" s="6"/>
      <c r="H12" s="19" t="n">
        <f aca="false">IF(AND(D12&gt;0,E12&gt;0,F12&gt;0,G12&gt;0),D12*E12*F12*G12/1000,0)</f>
        <v>0</v>
      </c>
      <c r="I12" s="12" t="n">
        <f aca="false">H12*'A. General Energy'!D6</f>
        <v>0</v>
      </c>
      <c r="J12" s="6"/>
      <c r="K12" s="6"/>
      <c r="L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6"/>
      <c r="F13" s="6"/>
      <c r="G13" s="6"/>
      <c r="H13" s="19" t="n">
        <f aca="false">IF(AND(D13&gt;0,E13&gt;0,F13&gt;0,G13&gt;0),D13*E13*F13*G13/1000,0)</f>
        <v>0</v>
      </c>
      <c r="I13" s="12" t="n">
        <f aca="false">H13*'A. General Energy'!D6</f>
        <v>0</v>
      </c>
      <c r="J13" s="6"/>
      <c r="K13" s="6"/>
      <c r="L13" s="6"/>
    </row>
    <row r="14" customFormat="false" ht="15" hidden="false" customHeight="false" outlineLevel="0" collapsed="false">
      <c r="A14" s="8" t="n">
        <v>11</v>
      </c>
      <c r="B14" s="6"/>
      <c r="C14" s="6"/>
      <c r="D14" s="6"/>
      <c r="E14" s="6"/>
      <c r="F14" s="6"/>
      <c r="G14" s="6"/>
      <c r="H14" s="19" t="n">
        <f aca="false">IF(AND(D14&gt;0,E14&gt;0,F14&gt;0,G14&gt;0),D14*E14*F14*G14/1000,0)</f>
        <v>0</v>
      </c>
      <c r="I14" s="12" t="n">
        <f aca="false">H14*'A. General Energy'!D6</f>
        <v>0</v>
      </c>
      <c r="J14" s="6"/>
      <c r="K14" s="6"/>
      <c r="L14" s="6"/>
    </row>
    <row r="15" customFormat="false" ht="15" hidden="false" customHeight="false" outlineLevel="0" collapsed="false">
      <c r="A15" s="8" t="n">
        <v>12</v>
      </c>
      <c r="B15" s="6"/>
      <c r="C15" s="6"/>
      <c r="D15" s="6"/>
      <c r="E15" s="6"/>
      <c r="F15" s="6"/>
      <c r="G15" s="6"/>
      <c r="H15" s="19" t="n">
        <f aca="false">IF(AND(D15&gt;0,E15&gt;0,F15&gt;0,G15&gt;0),D15*E15*F15*G15/1000,0)</f>
        <v>0</v>
      </c>
      <c r="I15" s="12" t="n">
        <f aca="false">H15*'A. General Energy'!D6</f>
        <v>0</v>
      </c>
      <c r="J15" s="6"/>
      <c r="K15" s="6"/>
      <c r="L15" s="6"/>
    </row>
    <row r="16" customFormat="false" ht="15" hidden="false" customHeight="false" outlineLevel="0" collapsed="false">
      <c r="A16" s="8" t="n">
        <v>13</v>
      </c>
      <c r="B16" s="6"/>
      <c r="C16" s="6"/>
      <c r="D16" s="6"/>
      <c r="E16" s="6"/>
      <c r="F16" s="6"/>
      <c r="G16" s="6"/>
      <c r="H16" s="19" t="n">
        <f aca="false">IF(AND(D16&gt;0,E16&gt;0,F16&gt;0,G16&gt;0),D16*E16*F16*G16/1000,0)</f>
        <v>0</v>
      </c>
      <c r="I16" s="12" t="n">
        <f aca="false">H16*'A. General Energy'!D6</f>
        <v>0</v>
      </c>
      <c r="J16" s="6"/>
      <c r="K16" s="6"/>
      <c r="L16" s="6"/>
    </row>
    <row r="17" customFormat="false" ht="15" hidden="false" customHeight="false" outlineLevel="0" collapsed="false">
      <c r="A17" s="8" t="n">
        <v>14</v>
      </c>
      <c r="B17" s="6"/>
      <c r="C17" s="6"/>
      <c r="D17" s="6"/>
      <c r="E17" s="6"/>
      <c r="F17" s="6"/>
      <c r="G17" s="6"/>
      <c r="H17" s="19" t="n">
        <f aca="false">IF(AND(D17&gt;0,E17&gt;0,F17&gt;0,G17&gt;0),D17*E17*F17*G17/1000,0)</f>
        <v>0</v>
      </c>
      <c r="I17" s="12" t="n">
        <f aca="false">H17*'A. General Energy'!D6</f>
        <v>0</v>
      </c>
      <c r="J17" s="6"/>
      <c r="K17" s="6"/>
      <c r="L17" s="6"/>
    </row>
    <row r="18" customFormat="false" ht="15" hidden="false" customHeight="false" outlineLevel="0" collapsed="false">
      <c r="A18" s="8" t="n">
        <v>15</v>
      </c>
      <c r="B18" s="6"/>
      <c r="C18" s="6"/>
      <c r="D18" s="6"/>
      <c r="E18" s="6"/>
      <c r="F18" s="6"/>
      <c r="G18" s="6"/>
      <c r="H18" s="19" t="n">
        <f aca="false">IF(AND(D18&gt;0,E18&gt;0,F18&gt;0,G18&gt;0),D18*E18*F18*G18/1000,0)</f>
        <v>0</v>
      </c>
      <c r="I18" s="12" t="n">
        <f aca="false">H18*'A. General Energy'!D6</f>
        <v>0</v>
      </c>
      <c r="J18" s="6"/>
      <c r="K18" s="6"/>
      <c r="L18" s="6"/>
    </row>
    <row r="19" customFormat="false" ht="15" hidden="false" customHeight="false" outlineLevel="0" collapsed="false">
      <c r="A19" s="8" t="n">
        <v>16</v>
      </c>
      <c r="B19" s="6"/>
      <c r="C19" s="6"/>
      <c r="D19" s="6"/>
      <c r="E19" s="6"/>
      <c r="F19" s="6"/>
      <c r="G19" s="6"/>
      <c r="H19" s="19" t="n">
        <f aca="false">IF(AND(D19&gt;0,E19&gt;0,F19&gt;0,G19&gt;0),D19*E19*F19*G19/1000,0)</f>
        <v>0</v>
      </c>
      <c r="I19" s="12" t="n">
        <f aca="false">H19*'A. General Energy'!D6</f>
        <v>0</v>
      </c>
      <c r="J19" s="6"/>
      <c r="K19" s="6"/>
      <c r="L19" s="6"/>
    </row>
    <row r="20" customFormat="false" ht="15" hidden="false" customHeight="false" outlineLevel="0" collapsed="false">
      <c r="A20" s="8" t="n">
        <v>17</v>
      </c>
      <c r="B20" s="6"/>
      <c r="C20" s="6"/>
      <c r="D20" s="6"/>
      <c r="E20" s="6"/>
      <c r="F20" s="6"/>
      <c r="G20" s="6"/>
      <c r="H20" s="19" t="n">
        <f aca="false">IF(AND(D20&gt;0,E20&gt;0,F20&gt;0,G20&gt;0),D20*E20*F20*G20/1000,0)</f>
        <v>0</v>
      </c>
      <c r="I20" s="12" t="n">
        <f aca="false">H20*'A. General Energy'!D6</f>
        <v>0</v>
      </c>
      <c r="J20" s="6"/>
      <c r="K20" s="6"/>
      <c r="L20" s="6"/>
    </row>
    <row r="21" customFormat="false" ht="15" hidden="false" customHeight="false" outlineLevel="0" collapsed="false">
      <c r="A21" s="8" t="n">
        <v>18</v>
      </c>
      <c r="B21" s="6"/>
      <c r="C21" s="6"/>
      <c r="D21" s="6"/>
      <c r="E21" s="6"/>
      <c r="F21" s="6"/>
      <c r="G21" s="6"/>
      <c r="H21" s="19" t="n">
        <f aca="false">IF(AND(D21&gt;0,E21&gt;0,F21&gt;0,G21&gt;0),D21*E21*F21*G21/1000,0)</f>
        <v>0</v>
      </c>
      <c r="I21" s="12" t="n">
        <f aca="false">H21*'A. General Energy'!D6</f>
        <v>0</v>
      </c>
      <c r="J21" s="6"/>
      <c r="K21" s="6"/>
      <c r="L21" s="6"/>
    </row>
    <row r="22" customFormat="false" ht="15" hidden="false" customHeight="false" outlineLevel="0" collapsed="false">
      <c r="A22" s="8" t="n">
        <v>19</v>
      </c>
      <c r="B22" s="6"/>
      <c r="C22" s="6"/>
      <c r="D22" s="6"/>
      <c r="E22" s="6"/>
      <c r="F22" s="6"/>
      <c r="G22" s="6"/>
      <c r="H22" s="19" t="n">
        <f aca="false">IF(AND(D22&gt;0,E22&gt;0,F22&gt;0,G22&gt;0),D22*E22*F22*G22/1000,0)</f>
        <v>0</v>
      </c>
      <c r="I22" s="12" t="n">
        <f aca="false">H22*'A. General Energy'!D6</f>
        <v>0</v>
      </c>
      <c r="J22" s="6"/>
      <c r="K22" s="6"/>
      <c r="L22" s="6"/>
    </row>
    <row r="23" customFormat="false" ht="15" hidden="false" customHeight="false" outlineLevel="0" collapsed="false">
      <c r="A23" s="8" t="n">
        <v>20</v>
      </c>
      <c r="B23" s="6"/>
      <c r="C23" s="6"/>
      <c r="D23" s="6"/>
      <c r="E23" s="6"/>
      <c r="F23" s="6"/>
      <c r="G23" s="6"/>
      <c r="H23" s="19" t="n">
        <f aca="false">IF(AND(D23&gt;0,E23&gt;0,F23&gt;0,G23&gt;0),D23*E23*F23*G23/1000,0)</f>
        <v>0</v>
      </c>
      <c r="I23" s="12" t="n">
        <f aca="false">H23*'A. General Energy'!D6</f>
        <v>0</v>
      </c>
      <c r="J23" s="6"/>
      <c r="K23" s="6"/>
      <c r="L23" s="6"/>
    </row>
    <row r="24" customFormat="false" ht="15" hidden="false" customHeight="false" outlineLevel="0" collapsed="false">
      <c r="A24" s="8" t="n">
        <v>21</v>
      </c>
      <c r="B24" s="6"/>
      <c r="C24" s="6"/>
      <c r="D24" s="6"/>
      <c r="E24" s="6"/>
      <c r="F24" s="6"/>
      <c r="G24" s="6"/>
      <c r="H24" s="19" t="n">
        <f aca="false">IF(AND(D24&gt;0,E24&gt;0,F24&gt;0,G24&gt;0),D24*E24*F24*G24/1000,0)</f>
        <v>0</v>
      </c>
      <c r="I24" s="12" t="n">
        <f aca="false">H24*'A. General Energy'!D6</f>
        <v>0</v>
      </c>
      <c r="J24" s="6"/>
      <c r="K24" s="6"/>
      <c r="L24" s="6"/>
    </row>
    <row r="25" customFormat="false" ht="15" hidden="false" customHeight="false" outlineLevel="0" collapsed="false">
      <c r="A25" s="8" t="n">
        <v>22</v>
      </c>
      <c r="B25" s="6"/>
      <c r="C25" s="6"/>
      <c r="D25" s="6"/>
      <c r="E25" s="6"/>
      <c r="F25" s="6"/>
      <c r="G25" s="6"/>
      <c r="H25" s="19" t="n">
        <f aca="false">IF(AND(D25&gt;0,E25&gt;0,F25&gt;0,G25&gt;0),D25*E25*F25*G25/1000,0)</f>
        <v>0</v>
      </c>
      <c r="I25" s="12" t="n">
        <f aca="false">H25*'A. General Energy'!D6</f>
        <v>0</v>
      </c>
      <c r="J25" s="6"/>
      <c r="K25" s="6"/>
      <c r="L25" s="6"/>
    </row>
    <row r="26" customFormat="false" ht="15" hidden="false" customHeight="false" outlineLevel="0" collapsed="false">
      <c r="A26" s="8" t="n">
        <v>23</v>
      </c>
      <c r="B26" s="6"/>
      <c r="C26" s="6"/>
      <c r="D26" s="6"/>
      <c r="E26" s="6"/>
      <c r="F26" s="6"/>
      <c r="G26" s="6"/>
      <c r="H26" s="19" t="n">
        <f aca="false">IF(AND(D26&gt;0,E26&gt;0,F26&gt;0,G26&gt;0),D26*E26*F26*G26/1000,0)</f>
        <v>0</v>
      </c>
      <c r="I26" s="12" t="n">
        <f aca="false">H26*'A. General Energy'!D6</f>
        <v>0</v>
      </c>
      <c r="J26" s="6"/>
      <c r="K26" s="6"/>
      <c r="L26" s="6"/>
    </row>
    <row r="27" customFormat="false" ht="15" hidden="false" customHeight="false" outlineLevel="0" collapsed="false">
      <c r="A27" s="8" t="n">
        <v>24</v>
      </c>
      <c r="B27" s="6"/>
      <c r="C27" s="6"/>
      <c r="D27" s="6"/>
      <c r="E27" s="6"/>
      <c r="F27" s="6"/>
      <c r="G27" s="6"/>
      <c r="H27" s="19" t="n">
        <f aca="false">IF(AND(D27&gt;0,E27&gt;0,F27&gt;0,G27&gt;0),D27*E27*F27*G27/1000,0)</f>
        <v>0</v>
      </c>
      <c r="I27" s="12" t="n">
        <f aca="false">H27*'A. General Energy'!D6</f>
        <v>0</v>
      </c>
      <c r="J27" s="6"/>
      <c r="K27" s="6"/>
      <c r="L27" s="6"/>
    </row>
    <row r="28" customFormat="false" ht="15" hidden="false" customHeight="false" outlineLevel="0" collapsed="false">
      <c r="A28" s="8" t="n">
        <v>25</v>
      </c>
      <c r="B28" s="6"/>
      <c r="C28" s="6"/>
      <c r="D28" s="6"/>
      <c r="E28" s="6"/>
      <c r="F28" s="6"/>
      <c r="G28" s="6"/>
      <c r="H28" s="19" t="n">
        <f aca="false">IF(AND(D28&gt;0,E28&gt;0,F28&gt;0,G28&gt;0),D28*E28*F28*G28/1000,0)</f>
        <v>0</v>
      </c>
      <c r="I28" s="12" t="n">
        <f aca="false">H28*'A. General Energy'!D6</f>
        <v>0</v>
      </c>
      <c r="J28" s="6"/>
      <c r="K28" s="6"/>
      <c r="L28" s="6"/>
    </row>
    <row r="29" customFormat="false" ht="15" hidden="false" customHeight="false" outlineLevel="0" collapsed="false">
      <c r="A29" s="8" t="n">
        <v>26</v>
      </c>
      <c r="B29" s="6"/>
      <c r="C29" s="6"/>
      <c r="D29" s="6"/>
      <c r="E29" s="6"/>
      <c r="F29" s="6"/>
      <c r="G29" s="6"/>
      <c r="H29" s="19" t="n">
        <f aca="false">IF(AND(D29&gt;0,E29&gt;0,F29&gt;0,G29&gt;0),D29*E29*F29*G29/1000,0)</f>
        <v>0</v>
      </c>
      <c r="I29" s="12" t="n">
        <f aca="false">H29*'A. General Energy'!D6</f>
        <v>0</v>
      </c>
      <c r="J29" s="6"/>
      <c r="K29" s="6"/>
      <c r="L29" s="6"/>
    </row>
    <row r="30" customFormat="false" ht="15" hidden="false" customHeight="false" outlineLevel="0" collapsed="false">
      <c r="A30" s="8" t="n">
        <v>27</v>
      </c>
      <c r="B30" s="6"/>
      <c r="C30" s="6"/>
      <c r="D30" s="6"/>
      <c r="E30" s="6"/>
      <c r="F30" s="6"/>
      <c r="G30" s="6"/>
      <c r="H30" s="19" t="n">
        <f aca="false">IF(AND(D30&gt;0,E30&gt;0,F30&gt;0,G30&gt;0),D30*E30*F30*G30/1000,0)</f>
        <v>0</v>
      </c>
      <c r="I30" s="12" t="n">
        <f aca="false">H30*'A. General Energy'!D6</f>
        <v>0</v>
      </c>
      <c r="J30" s="6"/>
      <c r="K30" s="6"/>
      <c r="L30" s="6"/>
    </row>
    <row r="31" customFormat="false" ht="15" hidden="false" customHeight="false" outlineLevel="0" collapsed="false">
      <c r="A31" s="8" t="n">
        <v>28</v>
      </c>
      <c r="B31" s="6"/>
      <c r="C31" s="6"/>
      <c r="D31" s="6"/>
      <c r="E31" s="6"/>
      <c r="F31" s="6"/>
      <c r="G31" s="6"/>
      <c r="H31" s="19" t="n">
        <f aca="false">IF(AND(D31&gt;0,E31&gt;0,F31&gt;0,G31&gt;0),D31*E31*F31*G31/1000,0)</f>
        <v>0</v>
      </c>
      <c r="I31" s="12" t="n">
        <f aca="false">H31*'A. General Energy'!D6</f>
        <v>0</v>
      </c>
      <c r="J31" s="6"/>
      <c r="K31" s="6"/>
      <c r="L31" s="6"/>
    </row>
    <row r="32" customFormat="false" ht="15" hidden="false" customHeight="false" outlineLevel="0" collapsed="false">
      <c r="A32" s="8" t="n">
        <v>29</v>
      </c>
      <c r="B32" s="6"/>
      <c r="C32" s="6"/>
      <c r="D32" s="6"/>
      <c r="E32" s="6"/>
      <c r="F32" s="6"/>
      <c r="G32" s="6"/>
      <c r="H32" s="19" t="n">
        <f aca="false">IF(AND(D32&gt;0,E32&gt;0,F32&gt;0,G32&gt;0),D32*E32*F32*G32/1000,0)</f>
        <v>0</v>
      </c>
      <c r="I32" s="12" t="n">
        <f aca="false">H32*'A. General Energy'!D6</f>
        <v>0</v>
      </c>
      <c r="J32" s="6"/>
      <c r="K32" s="6"/>
      <c r="L32" s="6"/>
    </row>
    <row r="33" customFormat="false" ht="15" hidden="false" customHeight="false" outlineLevel="0" collapsed="false">
      <c r="A33" s="8" t="n">
        <v>30</v>
      </c>
      <c r="B33" s="6"/>
      <c r="C33" s="6"/>
      <c r="D33" s="6"/>
      <c r="E33" s="6"/>
      <c r="F33" s="6"/>
      <c r="G33" s="6"/>
      <c r="H33" s="19" t="n">
        <f aca="false">IF(AND(D33&gt;0,E33&gt;0,F33&gt;0,G33&gt;0),D33*E33*F33*G33/1000,0)</f>
        <v>0</v>
      </c>
      <c r="I33" s="12" t="n">
        <f aca="false">H33*'A. General Energy'!D6</f>
        <v>0</v>
      </c>
      <c r="J33" s="6"/>
      <c r="K33" s="6"/>
      <c r="L33" s="6"/>
    </row>
    <row r="34" customFormat="false" ht="15" hidden="false" customHeight="false" outlineLevel="0" collapsed="false">
      <c r="A34" s="8" t="n">
        <v>31</v>
      </c>
      <c r="B34" s="6"/>
      <c r="C34" s="6"/>
      <c r="D34" s="6"/>
      <c r="E34" s="6"/>
      <c r="F34" s="6"/>
      <c r="G34" s="6"/>
      <c r="H34" s="19" t="n">
        <f aca="false">IF(AND(D34&gt;0,E34&gt;0,F34&gt;0,G34&gt;0),D34*E34*F34*G34/1000,0)</f>
        <v>0</v>
      </c>
      <c r="I34" s="12" t="n">
        <f aca="false">H34*'A. General Energy'!D6</f>
        <v>0</v>
      </c>
      <c r="J34" s="6"/>
      <c r="K34" s="6"/>
      <c r="L34" s="6"/>
    </row>
    <row r="35" customFormat="false" ht="15" hidden="false" customHeight="false" outlineLevel="0" collapsed="false">
      <c r="A35" s="8" t="n">
        <v>32</v>
      </c>
      <c r="B35" s="6"/>
      <c r="C35" s="6"/>
      <c r="D35" s="6"/>
      <c r="E35" s="6"/>
      <c r="F35" s="6"/>
      <c r="G35" s="6"/>
      <c r="H35" s="19" t="n">
        <f aca="false">IF(AND(D35&gt;0,E35&gt;0,F35&gt;0,G35&gt;0),D35*E35*F35*G35/1000,0)</f>
        <v>0</v>
      </c>
      <c r="I35" s="12" t="n">
        <f aca="false">H35*'A. General Energy'!D6</f>
        <v>0</v>
      </c>
      <c r="J35" s="6"/>
      <c r="K35" s="6"/>
      <c r="L35" s="6"/>
    </row>
    <row r="36" customFormat="false" ht="15" hidden="false" customHeight="false" outlineLevel="0" collapsed="false">
      <c r="A36" s="8" t="n">
        <v>33</v>
      </c>
      <c r="B36" s="6"/>
      <c r="C36" s="6"/>
      <c r="D36" s="6"/>
      <c r="E36" s="6"/>
      <c r="F36" s="6"/>
      <c r="G36" s="6"/>
      <c r="H36" s="19" t="n">
        <f aca="false">IF(AND(D36&gt;0,E36&gt;0,F36&gt;0,G36&gt;0),D36*E36*F36*G36/1000,0)</f>
        <v>0</v>
      </c>
      <c r="I36" s="12" t="n">
        <f aca="false">H36*'A. General Energy'!D6</f>
        <v>0</v>
      </c>
      <c r="J36" s="6"/>
      <c r="K36" s="6"/>
      <c r="L36" s="6"/>
    </row>
    <row r="37" customFormat="false" ht="15" hidden="false" customHeight="false" outlineLevel="0" collapsed="false">
      <c r="A37" s="8" t="n">
        <v>34</v>
      </c>
      <c r="B37" s="6"/>
      <c r="C37" s="6"/>
      <c r="D37" s="6"/>
      <c r="E37" s="6"/>
      <c r="F37" s="6"/>
      <c r="G37" s="6"/>
      <c r="H37" s="19" t="n">
        <f aca="false">IF(AND(D37&gt;0,E37&gt;0,F37&gt;0,G37&gt;0),D37*E37*F37*G37/1000,0)</f>
        <v>0</v>
      </c>
      <c r="I37" s="12" t="n">
        <f aca="false">H37*'A. General Energy'!D6</f>
        <v>0</v>
      </c>
      <c r="J37" s="6"/>
      <c r="K37" s="6"/>
      <c r="L37" s="6"/>
    </row>
    <row r="38" customFormat="false" ht="15" hidden="false" customHeight="false" outlineLevel="0" collapsed="false">
      <c r="A38" s="8" t="n">
        <v>35</v>
      </c>
      <c r="B38" s="6"/>
      <c r="C38" s="6"/>
      <c r="D38" s="6"/>
      <c r="E38" s="6"/>
      <c r="F38" s="6"/>
      <c r="G38" s="6"/>
      <c r="H38" s="19" t="n">
        <f aca="false">IF(AND(D38&gt;0,E38&gt;0,F38&gt;0,G38&gt;0),D38*E38*F38*G38/1000,0)</f>
        <v>0</v>
      </c>
      <c r="I38" s="12" t="n">
        <f aca="false">H38*'A. General Energy'!D6</f>
        <v>0</v>
      </c>
      <c r="J38" s="6"/>
      <c r="K38" s="6"/>
      <c r="L38" s="6"/>
    </row>
    <row r="39" customFormat="false" ht="15" hidden="false" customHeight="false" outlineLevel="0" collapsed="false">
      <c r="A39" s="8" t="n">
        <v>36</v>
      </c>
      <c r="B39" s="6"/>
      <c r="C39" s="6"/>
      <c r="D39" s="6"/>
      <c r="E39" s="6"/>
      <c r="F39" s="6"/>
      <c r="G39" s="6"/>
      <c r="H39" s="19" t="n">
        <f aca="false">IF(AND(D39&gt;0,E39&gt;0,F39&gt;0,G39&gt;0),D39*E39*F39*G39/1000,0)</f>
        <v>0</v>
      </c>
      <c r="I39" s="12" t="n">
        <f aca="false">H39*'A. General Energy'!D6</f>
        <v>0</v>
      </c>
      <c r="J39" s="6"/>
      <c r="K39" s="6"/>
      <c r="L39" s="6"/>
    </row>
    <row r="40" customFormat="false" ht="15" hidden="false" customHeight="false" outlineLevel="0" collapsed="false">
      <c r="A40" s="8" t="n">
        <v>37</v>
      </c>
      <c r="B40" s="6"/>
      <c r="C40" s="6"/>
      <c r="D40" s="6"/>
      <c r="E40" s="6"/>
      <c r="F40" s="6"/>
      <c r="G40" s="6"/>
      <c r="H40" s="19" t="n">
        <f aca="false">IF(AND(D40&gt;0,E40&gt;0,F40&gt;0,G40&gt;0),D40*E40*F40*G40/1000,0)</f>
        <v>0</v>
      </c>
      <c r="I40" s="12" t="n">
        <f aca="false">H40*'A. General Energy'!D6</f>
        <v>0</v>
      </c>
      <c r="J40" s="6"/>
      <c r="K40" s="6"/>
      <c r="L40" s="6"/>
    </row>
    <row r="41" customFormat="false" ht="15" hidden="false" customHeight="false" outlineLevel="0" collapsed="false">
      <c r="A41" s="8" t="n">
        <v>38</v>
      </c>
      <c r="B41" s="6"/>
      <c r="C41" s="6"/>
      <c r="D41" s="6"/>
      <c r="E41" s="6"/>
      <c r="F41" s="6"/>
      <c r="G41" s="6"/>
      <c r="H41" s="19" t="n">
        <f aca="false">IF(AND(D41&gt;0,E41&gt;0,F41&gt;0,G41&gt;0),D41*E41*F41*G41/1000,0)</f>
        <v>0</v>
      </c>
      <c r="I41" s="12" t="n">
        <f aca="false">H41*'A. General Energy'!D6</f>
        <v>0</v>
      </c>
      <c r="J41" s="6"/>
      <c r="K41" s="6"/>
      <c r="L41" s="6"/>
    </row>
    <row r="42" customFormat="false" ht="15" hidden="false" customHeight="false" outlineLevel="0" collapsed="false">
      <c r="A42" s="8" t="n">
        <v>39</v>
      </c>
      <c r="B42" s="6"/>
      <c r="C42" s="6"/>
      <c r="D42" s="6"/>
      <c r="E42" s="6"/>
      <c r="F42" s="6"/>
      <c r="G42" s="6"/>
      <c r="H42" s="19" t="n">
        <f aca="false">IF(AND(D42&gt;0,E42&gt;0,F42&gt;0,G42&gt;0),D42*E42*F42*G42/1000,0)</f>
        <v>0</v>
      </c>
      <c r="I42" s="12" t="n">
        <f aca="false">H42*'A. General Energy'!D6</f>
        <v>0</v>
      </c>
      <c r="J42" s="6"/>
      <c r="K42" s="6"/>
      <c r="L42" s="6"/>
    </row>
    <row r="43" customFormat="false" ht="15" hidden="false" customHeight="false" outlineLevel="0" collapsed="false">
      <c r="A43" s="8" t="n">
        <v>40</v>
      </c>
      <c r="B43" s="6"/>
      <c r="C43" s="6"/>
      <c r="D43" s="6"/>
      <c r="E43" s="6"/>
      <c r="F43" s="6"/>
      <c r="G43" s="6"/>
      <c r="H43" s="19" t="n">
        <f aca="false">IF(AND(D43&gt;0,E43&gt;0,F43&gt;0,G43&gt;0),D43*E43*F43*G43/1000,0)</f>
        <v>0</v>
      </c>
      <c r="I43" s="12" t="n">
        <f aca="false">H43*'A. General Energy'!D6</f>
        <v>0</v>
      </c>
      <c r="J43" s="6"/>
      <c r="K43" s="6"/>
      <c r="L43" s="6"/>
    </row>
    <row r="44" customFormat="false" ht="15" hidden="false" customHeight="false" outlineLevel="0" collapsed="false">
      <c r="A44" s="8" t="n">
        <v>41</v>
      </c>
      <c r="B44" s="6"/>
      <c r="C44" s="6"/>
      <c r="D44" s="6"/>
      <c r="E44" s="6"/>
      <c r="F44" s="6"/>
      <c r="G44" s="6"/>
      <c r="H44" s="19" t="n">
        <f aca="false">IF(AND(D44&gt;0,E44&gt;0,F44&gt;0,G44&gt;0),D44*E44*F44*G44/1000,0)</f>
        <v>0</v>
      </c>
      <c r="I44" s="12" t="n">
        <f aca="false">H44*'A. General Energy'!D6</f>
        <v>0</v>
      </c>
      <c r="J44" s="6"/>
      <c r="K44" s="6"/>
      <c r="L44" s="6"/>
    </row>
    <row r="45" customFormat="false" ht="15" hidden="false" customHeight="false" outlineLevel="0" collapsed="false">
      <c r="A45" s="8" t="n">
        <v>42</v>
      </c>
      <c r="B45" s="6"/>
      <c r="C45" s="6"/>
      <c r="D45" s="6"/>
      <c r="E45" s="6"/>
      <c r="F45" s="6"/>
      <c r="G45" s="6"/>
      <c r="H45" s="19" t="n">
        <f aca="false">IF(AND(D45&gt;0,E45&gt;0,F45&gt;0,G45&gt;0),D45*E45*F45*G45/1000,0)</f>
        <v>0</v>
      </c>
      <c r="I45" s="12" t="n">
        <f aca="false">H45*'A. General Energy'!D6</f>
        <v>0</v>
      </c>
      <c r="J45" s="6"/>
      <c r="K45" s="6"/>
      <c r="L45" s="6"/>
    </row>
    <row r="46" customFormat="false" ht="15" hidden="false" customHeight="false" outlineLevel="0" collapsed="false">
      <c r="A46" s="8" t="n">
        <v>43</v>
      </c>
      <c r="B46" s="6"/>
      <c r="C46" s="6"/>
      <c r="D46" s="6"/>
      <c r="E46" s="6"/>
      <c r="F46" s="6"/>
      <c r="G46" s="6"/>
      <c r="H46" s="19" t="n">
        <f aca="false">IF(AND(D46&gt;0,E46&gt;0,F46&gt;0,G46&gt;0),D46*E46*F46*G46/1000,0)</f>
        <v>0</v>
      </c>
      <c r="I46" s="12" t="n">
        <f aca="false">H46*'A. General Energy'!D6</f>
        <v>0</v>
      </c>
      <c r="J46" s="6"/>
      <c r="K46" s="6"/>
      <c r="L46" s="6"/>
    </row>
    <row r="47" customFormat="false" ht="15" hidden="false" customHeight="false" outlineLevel="0" collapsed="false">
      <c r="A47" s="8" t="n">
        <v>44</v>
      </c>
      <c r="B47" s="6"/>
      <c r="C47" s="6"/>
      <c r="D47" s="6"/>
      <c r="E47" s="6"/>
      <c r="F47" s="6"/>
      <c r="G47" s="6"/>
      <c r="H47" s="19" t="n">
        <f aca="false">IF(AND(D47&gt;0,E47&gt;0,F47&gt;0,G47&gt;0),D47*E47*F47*G47/1000,0)</f>
        <v>0</v>
      </c>
      <c r="I47" s="12" t="n">
        <f aca="false">H47*'A. General Energy'!D6</f>
        <v>0</v>
      </c>
      <c r="J47" s="6"/>
      <c r="K47" s="6"/>
      <c r="L47" s="6"/>
    </row>
    <row r="48" customFormat="false" ht="15" hidden="false" customHeight="false" outlineLevel="0" collapsed="false">
      <c r="A48" s="8" t="n">
        <v>45</v>
      </c>
      <c r="B48" s="6"/>
      <c r="C48" s="6"/>
      <c r="D48" s="6"/>
      <c r="E48" s="6"/>
      <c r="F48" s="6"/>
      <c r="G48" s="6"/>
      <c r="H48" s="19" t="n">
        <f aca="false">IF(AND(D48&gt;0,E48&gt;0,F48&gt;0,G48&gt;0),D48*E48*F48*G48/1000,0)</f>
        <v>0</v>
      </c>
      <c r="I48" s="12" t="n">
        <f aca="false">H48*'A. General Energy'!D6</f>
        <v>0</v>
      </c>
      <c r="J48" s="6"/>
      <c r="K48" s="6"/>
      <c r="L48" s="6"/>
    </row>
    <row r="49" customFormat="false" ht="15" hidden="false" customHeight="false" outlineLevel="0" collapsed="false">
      <c r="A49" s="8" t="n">
        <v>46</v>
      </c>
      <c r="B49" s="6"/>
      <c r="C49" s="6"/>
      <c r="D49" s="6"/>
      <c r="E49" s="6"/>
      <c r="F49" s="6"/>
      <c r="G49" s="6"/>
      <c r="H49" s="19" t="n">
        <f aca="false">IF(AND(D49&gt;0,E49&gt;0,F49&gt;0,G49&gt;0),D49*E49*F49*G49/1000,0)</f>
        <v>0</v>
      </c>
      <c r="I49" s="12" t="n">
        <f aca="false">H49*'A. General Energy'!D6</f>
        <v>0</v>
      </c>
      <c r="J49" s="6"/>
      <c r="K49" s="6"/>
      <c r="L49" s="6"/>
    </row>
    <row r="50" customFormat="false" ht="15" hidden="false" customHeight="false" outlineLevel="0" collapsed="false">
      <c r="A50" s="8" t="n">
        <v>47</v>
      </c>
      <c r="B50" s="6"/>
      <c r="C50" s="6"/>
      <c r="D50" s="6"/>
      <c r="E50" s="6"/>
      <c r="F50" s="6"/>
      <c r="G50" s="6"/>
      <c r="H50" s="19" t="n">
        <f aca="false">IF(AND(D50&gt;0,E50&gt;0,F50&gt;0,G50&gt;0),D50*E50*F50*G50/1000,0)</f>
        <v>0</v>
      </c>
      <c r="I50" s="12" t="n">
        <f aca="false">H50*'A. General Energy'!D6</f>
        <v>0</v>
      </c>
      <c r="J50" s="6"/>
      <c r="K50" s="6"/>
      <c r="L50" s="6"/>
    </row>
    <row r="51" customFormat="false" ht="15" hidden="false" customHeight="false" outlineLevel="0" collapsed="false">
      <c r="A51" s="8" t="n">
        <v>48</v>
      </c>
      <c r="B51" s="6"/>
      <c r="C51" s="6"/>
      <c r="D51" s="6"/>
      <c r="E51" s="6"/>
      <c r="F51" s="6"/>
      <c r="G51" s="6"/>
      <c r="H51" s="19" t="n">
        <f aca="false">IF(AND(D51&gt;0,E51&gt;0,F51&gt;0,G51&gt;0),D51*E51*F51*G51/1000,0)</f>
        <v>0</v>
      </c>
      <c r="I51" s="12" t="n">
        <f aca="false">H51*'A. General Energy'!D6</f>
        <v>0</v>
      </c>
      <c r="J51" s="6"/>
      <c r="K51" s="6"/>
      <c r="L51" s="6"/>
    </row>
    <row r="52" customFormat="false" ht="15" hidden="false" customHeight="false" outlineLevel="0" collapsed="false">
      <c r="A52" s="8" t="n">
        <v>49</v>
      </c>
      <c r="B52" s="6"/>
      <c r="C52" s="6"/>
      <c r="D52" s="6"/>
      <c r="E52" s="6"/>
      <c r="F52" s="6"/>
      <c r="G52" s="6"/>
      <c r="H52" s="19" t="n">
        <f aca="false">IF(AND(D52&gt;0,E52&gt;0,F52&gt;0,G52&gt;0),D52*E52*F52*G52/1000,0)</f>
        <v>0</v>
      </c>
      <c r="I52" s="12" t="n">
        <f aca="false">H52*'A. General Energy'!D6</f>
        <v>0</v>
      </c>
      <c r="J52" s="6"/>
      <c r="K52" s="6"/>
      <c r="L52" s="6"/>
    </row>
    <row r="53" customFormat="false" ht="15" hidden="false" customHeight="false" outlineLevel="0" collapsed="false">
      <c r="A53" s="8" t="n">
        <v>50</v>
      </c>
      <c r="B53" s="6"/>
      <c r="C53" s="6"/>
      <c r="D53" s="6"/>
      <c r="E53" s="6"/>
      <c r="F53" s="6"/>
      <c r="G53" s="6"/>
      <c r="H53" s="19" t="n">
        <f aca="false">IF(AND(D53&gt;0,E53&gt;0,F53&gt;0,G53&gt;0),D53*E53*F53*G53/1000,0)</f>
        <v>0</v>
      </c>
      <c r="I53" s="12" t="n">
        <f aca="false">H53*'A. General Energy'!D6</f>
        <v>0</v>
      </c>
      <c r="J53" s="6"/>
      <c r="K53" s="6"/>
      <c r="L53" s="6"/>
    </row>
    <row r="54" customFormat="false" ht="25.5" hidden="false" customHeight="true" outlineLevel="0" collapsed="false">
      <c r="A54" s="3" t="s">
        <v>75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8" t="s">
        <v>76</v>
      </c>
      <c r="B55" s="38"/>
      <c r="C55" s="38"/>
      <c r="D55" s="15"/>
      <c r="E55" s="21" t="n">
        <f aca="false">SUM(E4:E53)</f>
        <v>0</v>
      </c>
      <c r="F55" s="15"/>
      <c r="G55" s="15"/>
      <c r="H55" s="39" t="n">
        <f aca="false">SUM(H4:H53)</f>
        <v>0</v>
      </c>
      <c r="I55" s="21" t="n">
        <f aca="false">SUM(I4:I53)</f>
        <v>0</v>
      </c>
      <c r="J55" s="15"/>
      <c r="K55" s="15"/>
      <c r="L55" s="15"/>
    </row>
  </sheetData>
  <mergeCells count="4">
    <mergeCell ref="A1:L1"/>
    <mergeCell ref="A2:L2"/>
    <mergeCell ref="A54:L54"/>
    <mergeCell ref="A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0" t="s">
        <v>77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25.5" hidden="false" customHeight="true" outlineLevel="0" collapsed="false">
      <c r="A2" s="41" t="s">
        <v>78</v>
      </c>
      <c r="B2" s="41"/>
      <c r="C2" s="41"/>
      <c r="D2" s="41"/>
      <c r="E2" s="41"/>
      <c r="F2" s="41"/>
      <c r="G2" s="41"/>
      <c r="H2" s="41"/>
      <c r="I2" s="41"/>
      <c r="J2" s="41"/>
    </row>
    <row r="3" customFormat="false" ht="23.85" hidden="false" customHeight="false" outlineLevel="0" collapsed="false">
      <c r="A3" s="42" t="s">
        <v>25</v>
      </c>
      <c r="B3" s="42" t="s">
        <v>79</v>
      </c>
      <c r="C3" s="42" t="s">
        <v>80</v>
      </c>
      <c r="D3" s="42" t="s">
        <v>40</v>
      </c>
      <c r="E3" s="42" t="s">
        <v>41</v>
      </c>
      <c r="F3" s="42" t="s">
        <v>42</v>
      </c>
      <c r="G3" s="42" t="s">
        <v>43</v>
      </c>
      <c r="H3" s="42" t="s">
        <v>59</v>
      </c>
      <c r="I3" s="42" t="s">
        <v>60</v>
      </c>
      <c r="J3" s="42" t="s">
        <v>6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6"/>
      <c r="F4" s="6"/>
      <c r="G4" s="6"/>
      <c r="H4" s="19" t="n">
        <f aca="false">IF(AND(D4&gt;0,E4&gt;0,F4&gt;0,G4&gt;0),D4*E4*F4*G4/1000,0)</f>
        <v>0</v>
      </c>
      <c r="I4" s="12" t="n">
        <f aca="false">H4*'A. General Energy'!D6</f>
        <v>0</v>
      </c>
      <c r="J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6"/>
      <c r="F5" s="6"/>
      <c r="G5" s="6"/>
      <c r="H5" s="19" t="n">
        <f aca="false">IF(AND(D5&gt;0,E5&gt;0,F5&gt;0,G5&gt;0),D5*E5*F5*G5/1000,0)</f>
        <v>0</v>
      </c>
      <c r="I5" s="12" t="n">
        <f aca="false">H5*'A. General Energy'!D6</f>
        <v>0</v>
      </c>
      <c r="J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6"/>
      <c r="F6" s="6"/>
      <c r="G6" s="6"/>
      <c r="H6" s="19" t="n">
        <f aca="false">IF(AND(D6&gt;0,E6&gt;0,F6&gt;0,G6&gt;0),D6*E6*F6*G6/1000,0)</f>
        <v>0</v>
      </c>
      <c r="I6" s="12" t="n">
        <f aca="false">H6*'A. General Energy'!D6</f>
        <v>0</v>
      </c>
      <c r="J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6"/>
      <c r="F7" s="6"/>
      <c r="G7" s="6"/>
      <c r="H7" s="19" t="n">
        <f aca="false">IF(AND(D7&gt;0,E7&gt;0,F7&gt;0,G7&gt;0),D7*E7*F7*G7/1000,0)</f>
        <v>0</v>
      </c>
      <c r="I7" s="12" t="n">
        <f aca="false">H7*'A. General Energy'!D6</f>
        <v>0</v>
      </c>
      <c r="J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6"/>
      <c r="F8" s="6"/>
      <c r="G8" s="6"/>
      <c r="H8" s="19" t="n">
        <f aca="false">IF(AND(D8&gt;0,E8&gt;0,F8&gt;0,G8&gt;0),D8*E8*F8*G8/1000,0)</f>
        <v>0</v>
      </c>
      <c r="I8" s="12" t="n">
        <f aca="false">H8*'A. General Energy'!D6</f>
        <v>0</v>
      </c>
      <c r="J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6"/>
      <c r="F9" s="6"/>
      <c r="G9" s="6"/>
      <c r="H9" s="19" t="n">
        <f aca="false">IF(AND(D9&gt;0,E9&gt;0,F9&gt;0,G9&gt;0),D9*E9*F9*G9/1000,0)</f>
        <v>0</v>
      </c>
      <c r="I9" s="12" t="n">
        <f aca="false">H9*'A. General Energy'!D6</f>
        <v>0</v>
      </c>
      <c r="J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6"/>
      <c r="F10" s="6"/>
      <c r="G10" s="6"/>
      <c r="H10" s="19" t="n">
        <f aca="false">IF(AND(D10&gt;0,E10&gt;0,F10&gt;0,G10&gt;0),D10*E10*F10*G10/1000,0)</f>
        <v>0</v>
      </c>
      <c r="I10" s="12" t="n">
        <f aca="false">H10*'A. General Energy'!D6</f>
        <v>0</v>
      </c>
      <c r="J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6"/>
      <c r="F11" s="6"/>
      <c r="G11" s="6"/>
      <c r="H11" s="19" t="n">
        <f aca="false">IF(AND(D11&gt;0,E11&gt;0,F11&gt;0,G11&gt;0),D11*E11*F11*G11/1000,0)</f>
        <v>0</v>
      </c>
      <c r="I11" s="12" t="n">
        <f aca="false">H11*'A. General Energy'!D6</f>
        <v>0</v>
      </c>
      <c r="J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6"/>
      <c r="F12" s="6"/>
      <c r="G12" s="6"/>
      <c r="H12" s="19" t="n">
        <f aca="false">IF(AND(D12&gt;0,E12&gt;0,F12&gt;0,G12&gt;0),D12*E12*F12*G12/1000,0)</f>
        <v>0</v>
      </c>
      <c r="I12" s="12" t="n">
        <f aca="false">H12*'A. General Energy'!D6</f>
        <v>0</v>
      </c>
      <c r="J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6"/>
      <c r="F13" s="6"/>
      <c r="G13" s="6"/>
      <c r="H13" s="19" t="n">
        <f aca="false">IF(AND(D13&gt;0,E13&gt;0,F13&gt;0,G13&gt;0),D13*E13*F13*G13/1000,0)</f>
        <v>0</v>
      </c>
      <c r="I13" s="12" t="n">
        <f aca="false">H13*'A. General Energy'!D6</f>
        <v>0</v>
      </c>
      <c r="J13" s="6"/>
    </row>
    <row r="14" customFormat="false" ht="15" hidden="false" customHeight="false" outlineLevel="0" collapsed="false">
      <c r="A14" s="8" t="n">
        <v>11</v>
      </c>
      <c r="B14" s="6"/>
      <c r="C14" s="6"/>
      <c r="D14" s="6"/>
      <c r="E14" s="6"/>
      <c r="F14" s="6"/>
      <c r="G14" s="6"/>
      <c r="H14" s="19" t="n">
        <f aca="false">IF(AND(D14&gt;0,E14&gt;0,F14&gt;0,G14&gt;0),D14*E14*F14*G14/1000,0)</f>
        <v>0</v>
      </c>
      <c r="I14" s="12" t="n">
        <f aca="false">H14*'A. General Energy'!D6</f>
        <v>0</v>
      </c>
      <c r="J14" s="6"/>
    </row>
    <row r="15" customFormat="false" ht="15" hidden="false" customHeight="false" outlineLevel="0" collapsed="false">
      <c r="A15" s="8" t="n">
        <v>12</v>
      </c>
      <c r="B15" s="6"/>
      <c r="C15" s="6"/>
      <c r="D15" s="6"/>
      <c r="E15" s="6"/>
      <c r="F15" s="6"/>
      <c r="G15" s="6"/>
      <c r="H15" s="19" t="n">
        <f aca="false">IF(AND(D15&gt;0,E15&gt;0,F15&gt;0,G15&gt;0),D15*E15*F15*G15/1000,0)</f>
        <v>0</v>
      </c>
      <c r="I15" s="12" t="n">
        <f aca="false">H15*'A. General Energy'!D6</f>
        <v>0</v>
      </c>
      <c r="J15" s="6"/>
    </row>
    <row r="16" customFormat="false" ht="15" hidden="false" customHeight="false" outlineLevel="0" collapsed="false">
      <c r="A16" s="8" t="n">
        <v>13</v>
      </c>
      <c r="B16" s="6"/>
      <c r="C16" s="6"/>
      <c r="D16" s="6"/>
      <c r="E16" s="6"/>
      <c r="F16" s="6"/>
      <c r="G16" s="6"/>
      <c r="H16" s="19" t="n">
        <f aca="false">IF(AND(D16&gt;0,E16&gt;0,F16&gt;0,G16&gt;0),D16*E16*F16*G16/1000,0)</f>
        <v>0</v>
      </c>
      <c r="I16" s="12" t="n">
        <f aca="false">H16*'A. General Energy'!D6</f>
        <v>0</v>
      </c>
      <c r="J16" s="6"/>
    </row>
    <row r="17" customFormat="false" ht="15" hidden="false" customHeight="false" outlineLevel="0" collapsed="false">
      <c r="A17" s="8" t="n">
        <v>14</v>
      </c>
      <c r="B17" s="6"/>
      <c r="C17" s="6"/>
      <c r="D17" s="6"/>
      <c r="E17" s="6"/>
      <c r="F17" s="6"/>
      <c r="G17" s="6"/>
      <c r="H17" s="19" t="n">
        <f aca="false">IF(AND(D17&gt;0,E17&gt;0,F17&gt;0,G17&gt;0),D17*E17*F17*G17/1000,0)</f>
        <v>0</v>
      </c>
      <c r="I17" s="12" t="n">
        <f aca="false">H17*'A. General Energy'!D6</f>
        <v>0</v>
      </c>
      <c r="J17" s="6"/>
    </row>
    <row r="18" customFormat="false" ht="15" hidden="false" customHeight="false" outlineLevel="0" collapsed="false">
      <c r="A18" s="8" t="n">
        <v>15</v>
      </c>
      <c r="B18" s="6"/>
      <c r="C18" s="6"/>
      <c r="D18" s="6"/>
      <c r="E18" s="6"/>
      <c r="F18" s="6"/>
      <c r="G18" s="6"/>
      <c r="H18" s="19" t="n">
        <f aca="false">IF(AND(D18&gt;0,E18&gt;0,F18&gt;0,G18&gt;0),D18*E18*F18*G18/1000,0)</f>
        <v>0</v>
      </c>
      <c r="I18" s="12" t="n">
        <f aca="false">H18*'A. General Energy'!D6</f>
        <v>0</v>
      </c>
      <c r="J18" s="6"/>
    </row>
    <row r="19" customFormat="false" ht="15" hidden="false" customHeight="false" outlineLevel="0" collapsed="false">
      <c r="A19" s="8" t="n">
        <v>16</v>
      </c>
      <c r="B19" s="6"/>
      <c r="C19" s="6"/>
      <c r="D19" s="6"/>
      <c r="E19" s="6"/>
      <c r="F19" s="6"/>
      <c r="G19" s="6"/>
      <c r="H19" s="19" t="n">
        <f aca="false">IF(AND(D19&gt;0,E19&gt;0,F19&gt;0,G19&gt;0),D19*E19*F19*G19/1000,0)</f>
        <v>0</v>
      </c>
      <c r="I19" s="12" t="n">
        <f aca="false">H19*'A. General Energy'!D6</f>
        <v>0</v>
      </c>
      <c r="J19" s="6"/>
    </row>
    <row r="20" customFormat="false" ht="15" hidden="false" customHeight="false" outlineLevel="0" collapsed="false">
      <c r="A20" s="8" t="n">
        <v>17</v>
      </c>
      <c r="B20" s="6"/>
      <c r="C20" s="6"/>
      <c r="D20" s="6"/>
      <c r="E20" s="6"/>
      <c r="F20" s="6"/>
      <c r="G20" s="6"/>
      <c r="H20" s="19" t="n">
        <f aca="false">IF(AND(D20&gt;0,E20&gt;0,F20&gt;0,G20&gt;0),D20*E20*F20*G20/1000,0)</f>
        <v>0</v>
      </c>
      <c r="I20" s="12" t="n">
        <f aca="false">H20*'A. General Energy'!D6</f>
        <v>0</v>
      </c>
      <c r="J20" s="6"/>
    </row>
    <row r="21" customFormat="false" ht="15" hidden="false" customHeight="false" outlineLevel="0" collapsed="false">
      <c r="A21" s="8" t="n">
        <v>18</v>
      </c>
      <c r="B21" s="6"/>
      <c r="C21" s="6"/>
      <c r="D21" s="6"/>
      <c r="E21" s="6"/>
      <c r="F21" s="6"/>
      <c r="G21" s="6"/>
      <c r="H21" s="19" t="n">
        <f aca="false">IF(AND(D21&gt;0,E21&gt;0,F21&gt;0,G21&gt;0),D21*E21*F21*G21/1000,0)</f>
        <v>0</v>
      </c>
      <c r="I21" s="12" t="n">
        <f aca="false">H21*'A. General Energy'!D6</f>
        <v>0</v>
      </c>
      <c r="J21" s="6"/>
    </row>
    <row r="22" customFormat="false" ht="15" hidden="false" customHeight="false" outlineLevel="0" collapsed="false">
      <c r="A22" s="8" t="n">
        <v>19</v>
      </c>
      <c r="B22" s="6"/>
      <c r="C22" s="6"/>
      <c r="D22" s="6"/>
      <c r="E22" s="6"/>
      <c r="F22" s="6"/>
      <c r="G22" s="6"/>
      <c r="H22" s="19" t="n">
        <f aca="false">IF(AND(D22&gt;0,E22&gt;0,F22&gt;0,G22&gt;0),D22*E22*F22*G22/1000,0)</f>
        <v>0</v>
      </c>
      <c r="I22" s="12" t="n">
        <f aca="false">H22*'A. General Energy'!D6</f>
        <v>0</v>
      </c>
      <c r="J22" s="6"/>
    </row>
    <row r="23" customFormat="false" ht="15" hidden="false" customHeight="false" outlineLevel="0" collapsed="false">
      <c r="A23" s="8" t="n">
        <v>20</v>
      </c>
      <c r="B23" s="6"/>
      <c r="C23" s="6"/>
      <c r="D23" s="6"/>
      <c r="E23" s="6"/>
      <c r="F23" s="6"/>
      <c r="G23" s="6"/>
      <c r="H23" s="19" t="n">
        <f aca="false">IF(AND(D23&gt;0,E23&gt;0,F23&gt;0,G23&gt;0),D23*E23*F23*G23/1000,0)</f>
        <v>0</v>
      </c>
      <c r="I23" s="12" t="n">
        <f aca="false">H23*'A. General Energy'!D6</f>
        <v>0</v>
      </c>
      <c r="J23" s="6"/>
    </row>
    <row r="24" customFormat="false" ht="15" hidden="false" customHeight="false" outlineLevel="0" collapsed="false">
      <c r="A24" s="8" t="n">
        <v>21</v>
      </c>
      <c r="B24" s="6"/>
      <c r="C24" s="6"/>
      <c r="D24" s="6"/>
      <c r="E24" s="6"/>
      <c r="F24" s="6"/>
      <c r="G24" s="6"/>
      <c r="H24" s="19" t="n">
        <f aca="false">IF(AND(D24&gt;0,E24&gt;0,F24&gt;0,G24&gt;0),D24*E24*F24*G24/1000,0)</f>
        <v>0</v>
      </c>
      <c r="I24" s="12" t="n">
        <f aca="false">H24*'A. General Energy'!D6</f>
        <v>0</v>
      </c>
      <c r="J24" s="6"/>
    </row>
    <row r="25" customFormat="false" ht="15" hidden="false" customHeight="false" outlineLevel="0" collapsed="false">
      <c r="A25" s="8" t="n">
        <v>22</v>
      </c>
      <c r="B25" s="6"/>
      <c r="C25" s="6"/>
      <c r="D25" s="6"/>
      <c r="E25" s="6"/>
      <c r="F25" s="6"/>
      <c r="G25" s="6"/>
      <c r="H25" s="19" t="n">
        <f aca="false">IF(AND(D25&gt;0,E25&gt;0,F25&gt;0,G25&gt;0),D25*E25*F25*G25/1000,0)</f>
        <v>0</v>
      </c>
      <c r="I25" s="12" t="n">
        <f aca="false">H25*'A. General Energy'!D6</f>
        <v>0</v>
      </c>
      <c r="J25" s="6"/>
    </row>
    <row r="26" customFormat="false" ht="15" hidden="false" customHeight="false" outlineLevel="0" collapsed="false">
      <c r="A26" s="8" t="n">
        <v>23</v>
      </c>
      <c r="B26" s="6"/>
      <c r="C26" s="6"/>
      <c r="D26" s="6"/>
      <c r="E26" s="6"/>
      <c r="F26" s="6"/>
      <c r="G26" s="6"/>
      <c r="H26" s="19" t="n">
        <f aca="false">IF(AND(D26&gt;0,E26&gt;0,F26&gt;0,G26&gt;0),D26*E26*F26*G26/1000,0)</f>
        <v>0</v>
      </c>
      <c r="I26" s="12" t="n">
        <f aca="false">H26*'A. General Energy'!D6</f>
        <v>0</v>
      </c>
      <c r="J26" s="6"/>
    </row>
    <row r="27" customFormat="false" ht="15" hidden="false" customHeight="false" outlineLevel="0" collapsed="false">
      <c r="A27" s="8" t="n">
        <v>24</v>
      </c>
      <c r="B27" s="6"/>
      <c r="C27" s="6"/>
      <c r="D27" s="6"/>
      <c r="E27" s="6"/>
      <c r="F27" s="6"/>
      <c r="G27" s="6"/>
      <c r="H27" s="19" t="n">
        <f aca="false">IF(AND(D27&gt;0,E27&gt;0,F27&gt;0,G27&gt;0),D27*E27*F27*G27/1000,0)</f>
        <v>0</v>
      </c>
      <c r="I27" s="12" t="n">
        <f aca="false">H27*'A. General Energy'!D6</f>
        <v>0</v>
      </c>
      <c r="J27" s="6"/>
    </row>
    <row r="28" customFormat="false" ht="15" hidden="false" customHeight="false" outlineLevel="0" collapsed="false">
      <c r="A28" s="8" t="n">
        <v>25</v>
      </c>
      <c r="B28" s="6"/>
      <c r="C28" s="6"/>
      <c r="D28" s="6"/>
      <c r="E28" s="6"/>
      <c r="F28" s="6"/>
      <c r="G28" s="6"/>
      <c r="H28" s="19" t="n">
        <f aca="false">IF(AND(D28&gt;0,E28&gt;0,F28&gt;0,G28&gt;0),D28*E28*F28*G28/1000,0)</f>
        <v>0</v>
      </c>
      <c r="I28" s="12" t="n">
        <f aca="false">H28*'A. General Energy'!D6</f>
        <v>0</v>
      </c>
      <c r="J28" s="6"/>
    </row>
    <row r="29" customFormat="false" ht="15" hidden="false" customHeight="false" outlineLevel="0" collapsed="false">
      <c r="A29" s="8" t="n">
        <v>26</v>
      </c>
      <c r="B29" s="6"/>
      <c r="C29" s="6"/>
      <c r="D29" s="6"/>
      <c r="E29" s="6"/>
      <c r="F29" s="6"/>
      <c r="G29" s="6"/>
      <c r="H29" s="19" t="n">
        <f aca="false">IF(AND(D29&gt;0,E29&gt;0,F29&gt;0,G29&gt;0),D29*E29*F29*G29/1000,0)</f>
        <v>0</v>
      </c>
      <c r="I29" s="12" t="n">
        <f aca="false">H29*'A. General Energy'!D6</f>
        <v>0</v>
      </c>
      <c r="J29" s="6"/>
    </row>
    <row r="30" customFormat="false" ht="15" hidden="false" customHeight="false" outlineLevel="0" collapsed="false">
      <c r="A30" s="8" t="n">
        <v>27</v>
      </c>
      <c r="B30" s="6"/>
      <c r="C30" s="6"/>
      <c r="D30" s="6"/>
      <c r="E30" s="6"/>
      <c r="F30" s="6"/>
      <c r="G30" s="6"/>
      <c r="H30" s="19" t="n">
        <f aca="false">IF(AND(D30&gt;0,E30&gt;0,F30&gt;0,G30&gt;0),D30*E30*F30*G30/1000,0)</f>
        <v>0</v>
      </c>
      <c r="I30" s="12" t="n">
        <f aca="false">H30*'A. General Energy'!D6</f>
        <v>0</v>
      </c>
      <c r="J30" s="6"/>
    </row>
    <row r="31" customFormat="false" ht="15" hidden="false" customHeight="false" outlineLevel="0" collapsed="false">
      <c r="A31" s="8" t="n">
        <v>28</v>
      </c>
      <c r="B31" s="6"/>
      <c r="C31" s="6"/>
      <c r="D31" s="6"/>
      <c r="E31" s="6"/>
      <c r="F31" s="6"/>
      <c r="G31" s="6"/>
      <c r="H31" s="19" t="n">
        <f aca="false">IF(AND(D31&gt;0,E31&gt;0,F31&gt;0,G31&gt;0),D31*E31*F31*G31/1000,0)</f>
        <v>0</v>
      </c>
      <c r="I31" s="12" t="n">
        <f aca="false">H31*'A. General Energy'!D6</f>
        <v>0</v>
      </c>
      <c r="J31" s="6"/>
    </row>
    <row r="32" customFormat="false" ht="15" hidden="false" customHeight="false" outlineLevel="0" collapsed="false">
      <c r="A32" s="8" t="n">
        <v>29</v>
      </c>
      <c r="B32" s="6"/>
      <c r="C32" s="6"/>
      <c r="D32" s="6"/>
      <c r="E32" s="6"/>
      <c r="F32" s="6"/>
      <c r="G32" s="6"/>
      <c r="H32" s="19" t="n">
        <f aca="false">IF(AND(D32&gt;0,E32&gt;0,F32&gt;0,G32&gt;0),D32*E32*F32*G32/1000,0)</f>
        <v>0</v>
      </c>
      <c r="I32" s="12" t="n">
        <f aca="false">H32*'A. General Energy'!D6</f>
        <v>0</v>
      </c>
      <c r="J32" s="6"/>
    </row>
    <row r="33" customFormat="false" ht="15" hidden="false" customHeight="false" outlineLevel="0" collapsed="false">
      <c r="A33" s="8" t="n">
        <v>30</v>
      </c>
      <c r="B33" s="6"/>
      <c r="C33" s="6"/>
      <c r="D33" s="6"/>
      <c r="E33" s="6"/>
      <c r="F33" s="6"/>
      <c r="G33" s="6"/>
      <c r="H33" s="19" t="n">
        <f aca="false">IF(AND(D33&gt;0,E33&gt;0,F33&gt;0,G33&gt;0),D33*E33*F33*G33/1000,0)</f>
        <v>0</v>
      </c>
      <c r="I33" s="12" t="n">
        <f aca="false">H33*'A. General Energy'!D6</f>
        <v>0</v>
      </c>
      <c r="J33" s="6"/>
    </row>
    <row r="34" customFormat="false" ht="15" hidden="false" customHeight="false" outlineLevel="0" collapsed="false">
      <c r="A34" s="8" t="n">
        <v>31</v>
      </c>
      <c r="B34" s="6"/>
      <c r="C34" s="6"/>
      <c r="D34" s="6"/>
      <c r="E34" s="6"/>
      <c r="F34" s="6"/>
      <c r="G34" s="6"/>
      <c r="H34" s="19" t="n">
        <f aca="false">IF(AND(D34&gt;0,E34&gt;0,F34&gt;0,G34&gt;0),D34*E34*F34*G34/1000,0)</f>
        <v>0</v>
      </c>
      <c r="I34" s="12" t="n">
        <f aca="false">H34*'A. General Energy'!D6</f>
        <v>0</v>
      </c>
      <c r="J34" s="6"/>
    </row>
    <row r="35" customFormat="false" ht="15" hidden="false" customHeight="false" outlineLevel="0" collapsed="false">
      <c r="A35" s="8" t="n">
        <v>32</v>
      </c>
      <c r="B35" s="6"/>
      <c r="C35" s="6"/>
      <c r="D35" s="6"/>
      <c r="E35" s="6"/>
      <c r="F35" s="6"/>
      <c r="G35" s="6"/>
      <c r="H35" s="19" t="n">
        <f aca="false">IF(AND(D35&gt;0,E35&gt;0,F35&gt;0,G35&gt;0),D35*E35*F35*G35/1000,0)</f>
        <v>0</v>
      </c>
      <c r="I35" s="12" t="n">
        <f aca="false">H35*'A. General Energy'!D6</f>
        <v>0</v>
      </c>
      <c r="J35" s="6"/>
    </row>
    <row r="36" customFormat="false" ht="15" hidden="false" customHeight="false" outlineLevel="0" collapsed="false">
      <c r="A36" s="8" t="n">
        <v>33</v>
      </c>
      <c r="B36" s="6"/>
      <c r="C36" s="6"/>
      <c r="D36" s="6"/>
      <c r="E36" s="6"/>
      <c r="F36" s="6"/>
      <c r="G36" s="6"/>
      <c r="H36" s="19" t="n">
        <f aca="false">IF(AND(D36&gt;0,E36&gt;0,F36&gt;0,G36&gt;0),D36*E36*F36*G36/1000,0)</f>
        <v>0</v>
      </c>
      <c r="I36" s="12" t="n">
        <f aca="false">H36*'A. General Energy'!D6</f>
        <v>0</v>
      </c>
      <c r="J36" s="6"/>
    </row>
    <row r="37" customFormat="false" ht="15" hidden="false" customHeight="false" outlineLevel="0" collapsed="false">
      <c r="A37" s="8" t="n">
        <v>34</v>
      </c>
      <c r="B37" s="6"/>
      <c r="C37" s="6"/>
      <c r="D37" s="6"/>
      <c r="E37" s="6"/>
      <c r="F37" s="6"/>
      <c r="G37" s="6"/>
      <c r="H37" s="19" t="n">
        <f aca="false">IF(AND(D37&gt;0,E37&gt;0,F37&gt;0,G37&gt;0),D37*E37*F37*G37/1000,0)</f>
        <v>0</v>
      </c>
      <c r="I37" s="12" t="n">
        <f aca="false">H37*'A. General Energy'!D6</f>
        <v>0</v>
      </c>
      <c r="J37" s="6"/>
    </row>
    <row r="38" customFormat="false" ht="15" hidden="false" customHeight="false" outlineLevel="0" collapsed="false">
      <c r="A38" s="8" t="n">
        <v>35</v>
      </c>
      <c r="B38" s="6"/>
      <c r="C38" s="6"/>
      <c r="D38" s="6"/>
      <c r="E38" s="6"/>
      <c r="F38" s="6"/>
      <c r="G38" s="6"/>
      <c r="H38" s="19" t="n">
        <f aca="false">IF(AND(D38&gt;0,E38&gt;0,F38&gt;0,G38&gt;0),D38*E38*F38*G38/1000,0)</f>
        <v>0</v>
      </c>
      <c r="I38" s="12" t="n">
        <f aca="false">H38*'A. General Energy'!D6</f>
        <v>0</v>
      </c>
      <c r="J38" s="6"/>
    </row>
    <row r="39" customFormat="false" ht="15" hidden="false" customHeight="false" outlineLevel="0" collapsed="false">
      <c r="A39" s="8" t="n">
        <v>36</v>
      </c>
      <c r="B39" s="6"/>
      <c r="C39" s="6"/>
      <c r="D39" s="6"/>
      <c r="E39" s="6"/>
      <c r="F39" s="6"/>
      <c r="G39" s="6"/>
      <c r="H39" s="19" t="n">
        <f aca="false">IF(AND(D39&gt;0,E39&gt;0,F39&gt;0,G39&gt;0),D39*E39*F39*G39/1000,0)</f>
        <v>0</v>
      </c>
      <c r="I39" s="12" t="n">
        <f aca="false">H39*'A. General Energy'!D6</f>
        <v>0</v>
      </c>
      <c r="J39" s="6"/>
    </row>
    <row r="40" customFormat="false" ht="15" hidden="false" customHeight="false" outlineLevel="0" collapsed="false">
      <c r="A40" s="8" t="n">
        <v>37</v>
      </c>
      <c r="B40" s="6"/>
      <c r="C40" s="6"/>
      <c r="D40" s="6"/>
      <c r="E40" s="6"/>
      <c r="F40" s="6"/>
      <c r="G40" s="6"/>
      <c r="H40" s="19" t="n">
        <f aca="false">IF(AND(D40&gt;0,E40&gt;0,F40&gt;0,G40&gt;0),D40*E40*F40*G40/1000,0)</f>
        <v>0</v>
      </c>
      <c r="I40" s="12" t="n">
        <f aca="false">H40*'A. General Energy'!D6</f>
        <v>0</v>
      </c>
      <c r="J40" s="6"/>
    </row>
    <row r="41" customFormat="false" ht="15" hidden="false" customHeight="false" outlineLevel="0" collapsed="false">
      <c r="A41" s="8" t="n">
        <v>38</v>
      </c>
      <c r="B41" s="6"/>
      <c r="C41" s="6"/>
      <c r="D41" s="6"/>
      <c r="E41" s="6"/>
      <c r="F41" s="6"/>
      <c r="G41" s="6"/>
      <c r="H41" s="19" t="n">
        <f aca="false">IF(AND(D41&gt;0,E41&gt;0,F41&gt;0,G41&gt;0),D41*E41*F41*G41/1000,0)</f>
        <v>0</v>
      </c>
      <c r="I41" s="12" t="n">
        <f aca="false">H41*'A. General Energy'!D6</f>
        <v>0</v>
      </c>
      <c r="J41" s="6"/>
    </row>
    <row r="42" customFormat="false" ht="15" hidden="false" customHeight="false" outlineLevel="0" collapsed="false">
      <c r="A42" s="8" t="n">
        <v>39</v>
      </c>
      <c r="B42" s="6"/>
      <c r="C42" s="6"/>
      <c r="D42" s="6"/>
      <c r="E42" s="6"/>
      <c r="F42" s="6"/>
      <c r="G42" s="6"/>
      <c r="H42" s="19" t="n">
        <f aca="false">IF(AND(D42&gt;0,E42&gt;0,F42&gt;0,G42&gt;0),D42*E42*F42*G42/1000,0)</f>
        <v>0</v>
      </c>
      <c r="I42" s="12" t="n">
        <f aca="false">H42*'A. General Energy'!D6</f>
        <v>0</v>
      </c>
      <c r="J42" s="6"/>
    </row>
    <row r="43" customFormat="false" ht="15" hidden="false" customHeight="false" outlineLevel="0" collapsed="false">
      <c r="A43" s="8" t="n">
        <v>40</v>
      </c>
      <c r="B43" s="6"/>
      <c r="C43" s="6"/>
      <c r="D43" s="6"/>
      <c r="E43" s="6"/>
      <c r="F43" s="6"/>
      <c r="G43" s="6"/>
      <c r="H43" s="19" t="n">
        <f aca="false">IF(AND(D43&gt;0,E43&gt;0,F43&gt;0,G43&gt;0),D43*E43*F43*G43/1000,0)</f>
        <v>0</v>
      </c>
      <c r="I43" s="12" t="n">
        <f aca="false">H43*'A. General Energy'!D6</f>
        <v>0</v>
      </c>
      <c r="J43" s="6"/>
    </row>
    <row r="44" customFormat="false" ht="15" hidden="false" customHeight="false" outlineLevel="0" collapsed="false">
      <c r="A44" s="8" t="n">
        <v>41</v>
      </c>
      <c r="B44" s="6"/>
      <c r="C44" s="6"/>
      <c r="D44" s="6"/>
      <c r="E44" s="6"/>
      <c r="F44" s="6"/>
      <c r="G44" s="6"/>
      <c r="H44" s="19" t="n">
        <f aca="false">IF(AND(D44&gt;0,E44&gt;0,F44&gt;0,G44&gt;0),D44*E44*F44*G44/1000,0)</f>
        <v>0</v>
      </c>
      <c r="I44" s="12" t="n">
        <f aca="false">H44*'A. General Energy'!D6</f>
        <v>0</v>
      </c>
      <c r="J44" s="6"/>
    </row>
    <row r="45" customFormat="false" ht="15" hidden="false" customHeight="false" outlineLevel="0" collapsed="false">
      <c r="A45" s="8" t="n">
        <v>42</v>
      </c>
      <c r="B45" s="6"/>
      <c r="C45" s="6"/>
      <c r="D45" s="6"/>
      <c r="E45" s="6"/>
      <c r="F45" s="6"/>
      <c r="G45" s="6"/>
      <c r="H45" s="19" t="n">
        <f aca="false">IF(AND(D45&gt;0,E45&gt;0,F45&gt;0,G45&gt;0),D45*E45*F45*G45/1000,0)</f>
        <v>0</v>
      </c>
      <c r="I45" s="12" t="n">
        <f aca="false">H45*'A. General Energy'!D6</f>
        <v>0</v>
      </c>
      <c r="J45" s="6"/>
    </row>
    <row r="46" customFormat="false" ht="15" hidden="false" customHeight="false" outlineLevel="0" collapsed="false">
      <c r="A46" s="8" t="n">
        <v>43</v>
      </c>
      <c r="B46" s="6"/>
      <c r="C46" s="6"/>
      <c r="D46" s="6"/>
      <c r="E46" s="6"/>
      <c r="F46" s="6"/>
      <c r="G46" s="6"/>
      <c r="H46" s="19" t="n">
        <f aca="false">IF(AND(D46&gt;0,E46&gt;0,F46&gt;0,G46&gt;0),D46*E46*F46*G46/1000,0)</f>
        <v>0</v>
      </c>
      <c r="I46" s="12" t="n">
        <f aca="false">H46*'A. General Energy'!D6</f>
        <v>0</v>
      </c>
      <c r="J46" s="6"/>
    </row>
    <row r="47" customFormat="false" ht="15" hidden="false" customHeight="false" outlineLevel="0" collapsed="false">
      <c r="A47" s="8" t="n">
        <v>44</v>
      </c>
      <c r="B47" s="6"/>
      <c r="C47" s="6"/>
      <c r="D47" s="6"/>
      <c r="E47" s="6"/>
      <c r="F47" s="6"/>
      <c r="G47" s="6"/>
      <c r="H47" s="19" t="n">
        <f aca="false">IF(AND(D47&gt;0,E47&gt;0,F47&gt;0,G47&gt;0),D47*E47*F47*G47/1000,0)</f>
        <v>0</v>
      </c>
      <c r="I47" s="12" t="n">
        <f aca="false">H47*'A. General Energy'!D6</f>
        <v>0</v>
      </c>
      <c r="J47" s="6"/>
    </row>
    <row r="48" customFormat="false" ht="15" hidden="false" customHeight="false" outlineLevel="0" collapsed="false">
      <c r="A48" s="8" t="n">
        <v>45</v>
      </c>
      <c r="B48" s="6"/>
      <c r="C48" s="6"/>
      <c r="D48" s="6"/>
      <c r="E48" s="6"/>
      <c r="F48" s="6"/>
      <c r="G48" s="6"/>
      <c r="H48" s="19" t="n">
        <f aca="false">IF(AND(D48&gt;0,E48&gt;0,F48&gt;0,G48&gt;0),D48*E48*F48*G48/1000,0)</f>
        <v>0</v>
      </c>
      <c r="I48" s="12" t="n">
        <f aca="false">H48*'A. General Energy'!D6</f>
        <v>0</v>
      </c>
      <c r="J48" s="6"/>
    </row>
    <row r="49" customFormat="false" ht="15" hidden="false" customHeight="false" outlineLevel="0" collapsed="false">
      <c r="A49" s="8" t="n">
        <v>46</v>
      </c>
      <c r="B49" s="6"/>
      <c r="C49" s="6"/>
      <c r="D49" s="6"/>
      <c r="E49" s="6"/>
      <c r="F49" s="6"/>
      <c r="G49" s="6"/>
      <c r="H49" s="19" t="n">
        <f aca="false">IF(AND(D49&gt;0,E49&gt;0,F49&gt;0,G49&gt;0),D49*E49*F49*G49/1000,0)</f>
        <v>0</v>
      </c>
      <c r="I49" s="12" t="n">
        <f aca="false">H49*'A. General Energy'!D6</f>
        <v>0</v>
      </c>
      <c r="J49" s="6"/>
    </row>
    <row r="50" customFormat="false" ht="15" hidden="false" customHeight="false" outlineLevel="0" collapsed="false">
      <c r="A50" s="8" t="n">
        <v>47</v>
      </c>
      <c r="B50" s="6"/>
      <c r="C50" s="6"/>
      <c r="D50" s="6"/>
      <c r="E50" s="6"/>
      <c r="F50" s="6"/>
      <c r="G50" s="6"/>
      <c r="H50" s="19" t="n">
        <f aca="false">IF(AND(D50&gt;0,E50&gt;0,F50&gt;0,G50&gt;0),D50*E50*F50*G50/1000,0)</f>
        <v>0</v>
      </c>
      <c r="I50" s="12" t="n">
        <f aca="false">H50*'A. General Energy'!D6</f>
        <v>0</v>
      </c>
      <c r="J50" s="6"/>
    </row>
    <row r="51" customFormat="false" ht="15" hidden="false" customHeight="false" outlineLevel="0" collapsed="false">
      <c r="A51" s="8" t="n">
        <v>48</v>
      </c>
      <c r="B51" s="6"/>
      <c r="C51" s="6"/>
      <c r="D51" s="6"/>
      <c r="E51" s="6"/>
      <c r="F51" s="6"/>
      <c r="G51" s="6"/>
      <c r="H51" s="19" t="n">
        <f aca="false">IF(AND(D51&gt;0,E51&gt;0,F51&gt;0,G51&gt;0),D51*E51*F51*G51/1000,0)</f>
        <v>0</v>
      </c>
      <c r="I51" s="12" t="n">
        <f aca="false">H51*'A. General Energy'!D6</f>
        <v>0</v>
      </c>
      <c r="J51" s="6"/>
    </row>
    <row r="52" customFormat="false" ht="15" hidden="false" customHeight="false" outlineLevel="0" collapsed="false">
      <c r="A52" s="8" t="n">
        <v>49</v>
      </c>
      <c r="B52" s="6"/>
      <c r="C52" s="6"/>
      <c r="D52" s="6"/>
      <c r="E52" s="6"/>
      <c r="F52" s="6"/>
      <c r="G52" s="6"/>
      <c r="H52" s="19" t="n">
        <f aca="false">IF(AND(D52&gt;0,E52&gt;0,F52&gt;0,G52&gt;0),D52*E52*F52*G52/1000,0)</f>
        <v>0</v>
      </c>
      <c r="I52" s="12" t="n">
        <f aca="false">H52*'A. General Energy'!D6</f>
        <v>0</v>
      </c>
      <c r="J52" s="6"/>
    </row>
    <row r="53" customFormat="false" ht="15" hidden="false" customHeight="false" outlineLevel="0" collapsed="false">
      <c r="A53" s="8" t="n">
        <v>50</v>
      </c>
      <c r="B53" s="6"/>
      <c r="C53" s="6"/>
      <c r="D53" s="6"/>
      <c r="E53" s="6"/>
      <c r="F53" s="6"/>
      <c r="G53" s="6"/>
      <c r="H53" s="19" t="n">
        <f aca="false">IF(AND(D53&gt;0,E53&gt;0,F53&gt;0,G53&gt;0),D53*E53*F53*G53/1000,0)</f>
        <v>0</v>
      </c>
      <c r="I53" s="12" t="n">
        <f aca="false">H53*'A. General Energy'!D6</f>
        <v>0</v>
      </c>
      <c r="J53" s="6"/>
    </row>
    <row r="54" customFormat="false" ht="25.5" hidden="false" customHeight="true" outlineLevel="0" collapsed="false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43" t="s">
        <v>82</v>
      </c>
      <c r="B55" s="43"/>
      <c r="C55" s="43"/>
      <c r="D55" s="15"/>
      <c r="E55" s="21" t="n">
        <f aca="false">SUM(E4:E53)</f>
        <v>0</v>
      </c>
      <c r="F55" s="15"/>
      <c r="G55" s="15"/>
      <c r="H55" s="44" t="n">
        <f aca="false">SUM(H4:H53)</f>
        <v>0</v>
      </c>
      <c r="I55" s="21" t="n">
        <f aca="false">SUM(I4:I53)</f>
        <v>0</v>
      </c>
      <c r="J55" s="15"/>
    </row>
  </sheetData>
  <mergeCells count="4">
    <mergeCell ref="A1:J1"/>
    <mergeCell ref="A2:J2"/>
    <mergeCell ref="A54:J54"/>
    <mergeCell ref="A55:C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10" min="3" style="0" width="18"/>
    <col collapsed="false" customWidth="true" hidden="false" outlineLevel="0" max="11" min="11" style="0" width="22"/>
  </cols>
  <sheetData>
    <row r="1" customFormat="false" ht="33.75" hidden="false" customHeight="true" outlineLevel="0" collapsed="false">
      <c r="A1" s="45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customFormat="false" ht="25.5" hidden="false" customHeight="true" outlineLevel="0" collapsed="false">
      <c r="A2" s="46" t="s">
        <v>84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customFormat="false" ht="35.05" hidden="false" customHeight="false" outlineLevel="0" collapsed="false">
      <c r="A3" s="47" t="s">
        <v>25</v>
      </c>
      <c r="B3" s="47" t="s">
        <v>85</v>
      </c>
      <c r="C3" s="47" t="s">
        <v>86</v>
      </c>
      <c r="D3" s="47" t="s">
        <v>87</v>
      </c>
      <c r="E3" s="47" t="s">
        <v>88</v>
      </c>
      <c r="F3" s="47" t="s">
        <v>89</v>
      </c>
      <c r="G3" s="47" t="s">
        <v>90</v>
      </c>
      <c r="H3" s="47" t="s">
        <v>91</v>
      </c>
      <c r="I3" s="47" t="s">
        <v>92</v>
      </c>
      <c r="J3" s="47" t="s">
        <v>93</v>
      </c>
      <c r="K3" s="47" t="s">
        <v>94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6"/>
      <c r="F4" s="6"/>
      <c r="G4" s="12" t="n">
        <f aca="false">D4*'A. General Energy'!D6+E4*'A. General Energy'!D7+F4*'A. General Energy'!D8/19</f>
        <v>0</v>
      </c>
      <c r="H4" s="6"/>
      <c r="I4" s="6"/>
      <c r="J4" s="6"/>
      <c r="K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6"/>
      <c r="F5" s="6"/>
      <c r="G5" s="12" t="n">
        <f aca="false">D5*'A. General Energy'!D6+E5*'A. General Energy'!D7+F5*'A. General Energy'!D8/19</f>
        <v>0</v>
      </c>
      <c r="H5" s="6"/>
      <c r="I5" s="6"/>
      <c r="J5" s="6"/>
      <c r="K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6"/>
      <c r="F6" s="6"/>
      <c r="G6" s="12" t="n">
        <f aca="false">D6*'A. General Energy'!D6+E6*'A. General Energy'!D7+F6*'A. General Energy'!D8/19</f>
        <v>0</v>
      </c>
      <c r="H6" s="6"/>
      <c r="I6" s="6"/>
      <c r="J6" s="6"/>
      <c r="K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6"/>
      <c r="F7" s="6"/>
      <c r="G7" s="12" t="n">
        <f aca="false">D7*'A. General Energy'!D6+E7*'A. General Energy'!D7+F7*'A. General Energy'!D8/19</f>
        <v>0</v>
      </c>
      <c r="H7" s="6"/>
      <c r="I7" s="6"/>
      <c r="J7" s="6"/>
      <c r="K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6"/>
      <c r="F8" s="6"/>
      <c r="G8" s="12" t="n">
        <f aca="false">D8*'A. General Energy'!D6+E8*'A. General Energy'!D7+F8*'A. General Energy'!D8/19</f>
        <v>0</v>
      </c>
      <c r="H8" s="6"/>
      <c r="I8" s="6"/>
      <c r="J8" s="6"/>
      <c r="K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6"/>
      <c r="F9" s="6"/>
      <c r="G9" s="12" t="n">
        <f aca="false">D9*'A. General Energy'!D6+E9*'A. General Energy'!D7+F9*'A. General Energy'!D8/19</f>
        <v>0</v>
      </c>
      <c r="H9" s="6"/>
      <c r="I9" s="6"/>
      <c r="J9" s="6"/>
      <c r="K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6"/>
      <c r="F10" s="6"/>
      <c r="G10" s="12" t="n">
        <f aca="false">D10*'A. General Energy'!D6+E10*'A. General Energy'!D7+F10*'A. General Energy'!D8/19</f>
        <v>0</v>
      </c>
      <c r="H10" s="6"/>
      <c r="I10" s="6"/>
      <c r="J10" s="6"/>
      <c r="K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6"/>
      <c r="F11" s="6"/>
      <c r="G11" s="12" t="n">
        <f aca="false">D11*'A. General Energy'!D6+E11*'A. General Energy'!D7+F11*'A. General Energy'!D8/19</f>
        <v>0</v>
      </c>
      <c r="H11" s="6"/>
      <c r="I11" s="6"/>
      <c r="J11" s="6"/>
      <c r="K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6"/>
      <c r="F12" s="6"/>
      <c r="G12" s="12" t="n">
        <f aca="false">D12*'A. General Energy'!D6+E12*'A. General Energy'!D7+F12*'A. General Energy'!D8/19</f>
        <v>0</v>
      </c>
      <c r="H12" s="6"/>
      <c r="I12" s="6"/>
      <c r="J12" s="6"/>
      <c r="K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6"/>
      <c r="F13" s="6"/>
      <c r="G13" s="12" t="n">
        <f aca="false">D13*'A. General Energy'!D6+E13*'A. General Energy'!D7+F13*'A. General Energy'!D8/19</f>
        <v>0</v>
      </c>
      <c r="H13" s="6"/>
      <c r="I13" s="6"/>
      <c r="J13" s="6"/>
      <c r="K13" s="6"/>
    </row>
    <row r="14" customFormat="false" ht="15" hidden="false" customHeight="false" outlineLevel="0" collapsed="false">
      <c r="A14" s="8" t="n">
        <v>11</v>
      </c>
      <c r="B14" s="6"/>
      <c r="C14" s="6"/>
      <c r="D14" s="6"/>
      <c r="E14" s="6"/>
      <c r="F14" s="6"/>
      <c r="G14" s="12" t="n">
        <f aca="false">D14*'A. General Energy'!D6+E14*'A. General Energy'!D7+F14*'A. General Energy'!D8/19</f>
        <v>0</v>
      </c>
      <c r="H14" s="6"/>
      <c r="I14" s="6"/>
      <c r="J14" s="6"/>
      <c r="K14" s="6"/>
    </row>
    <row r="15" customFormat="false" ht="15" hidden="false" customHeight="false" outlineLevel="0" collapsed="false">
      <c r="A15" s="8" t="n">
        <v>12</v>
      </c>
      <c r="B15" s="6"/>
      <c r="C15" s="6"/>
      <c r="D15" s="6"/>
      <c r="E15" s="6"/>
      <c r="F15" s="6"/>
      <c r="G15" s="12" t="n">
        <f aca="false">D15*'A. General Energy'!D6+E15*'A. General Energy'!D7+F15*'A. General Energy'!D8/19</f>
        <v>0</v>
      </c>
      <c r="H15" s="6"/>
      <c r="I15" s="6"/>
      <c r="J15" s="6"/>
      <c r="K15" s="6"/>
    </row>
    <row r="16" customFormat="false" ht="15" hidden="false" customHeight="false" outlineLevel="0" collapsed="false">
      <c r="A16" s="8" t="n">
        <v>13</v>
      </c>
      <c r="B16" s="6"/>
      <c r="C16" s="6"/>
      <c r="D16" s="6"/>
      <c r="E16" s="6"/>
      <c r="F16" s="6"/>
      <c r="G16" s="12" t="n">
        <f aca="false">D16*'A. General Energy'!D6+E16*'A. General Energy'!D7+F16*'A. General Energy'!D8/19</f>
        <v>0</v>
      </c>
      <c r="H16" s="6"/>
      <c r="I16" s="6"/>
      <c r="J16" s="6"/>
      <c r="K16" s="6"/>
    </row>
    <row r="17" customFormat="false" ht="15" hidden="false" customHeight="false" outlineLevel="0" collapsed="false">
      <c r="A17" s="8" t="n">
        <v>14</v>
      </c>
      <c r="B17" s="6"/>
      <c r="C17" s="6"/>
      <c r="D17" s="6"/>
      <c r="E17" s="6"/>
      <c r="F17" s="6"/>
      <c r="G17" s="12" t="n">
        <f aca="false">D17*'A. General Energy'!D6+E17*'A. General Energy'!D7+F17*'A. General Energy'!D8/19</f>
        <v>0</v>
      </c>
      <c r="H17" s="6"/>
      <c r="I17" s="6"/>
      <c r="J17" s="6"/>
      <c r="K17" s="6"/>
    </row>
    <row r="18" customFormat="false" ht="15" hidden="false" customHeight="false" outlineLevel="0" collapsed="false">
      <c r="A18" s="8" t="n">
        <v>15</v>
      </c>
      <c r="B18" s="6"/>
      <c r="C18" s="6"/>
      <c r="D18" s="6"/>
      <c r="E18" s="6"/>
      <c r="F18" s="6"/>
      <c r="G18" s="12" t="n">
        <f aca="false">D18*'A. General Energy'!D6+E18*'A. General Energy'!D7+F18*'A. General Energy'!D8/19</f>
        <v>0</v>
      </c>
      <c r="H18" s="6"/>
      <c r="I18" s="6"/>
      <c r="J18" s="6"/>
      <c r="K18" s="6"/>
    </row>
    <row r="19" customFormat="false" ht="25.5" hidden="false" customHeight="true" outlineLevel="0" collapsed="false">
      <c r="A19" s="3" t="s">
        <v>95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48" t="s">
        <v>96</v>
      </c>
      <c r="B20" s="48"/>
      <c r="C20" s="15"/>
      <c r="D20" s="21" t="n">
        <f aca="false">SUM(D4:D18)</f>
        <v>0</v>
      </c>
      <c r="E20" s="15"/>
      <c r="F20" s="15"/>
      <c r="G20" s="49" t="n">
        <f aca="false">SUM(G4:G18)</f>
        <v>0</v>
      </c>
      <c r="H20" s="15"/>
      <c r="I20" s="15"/>
      <c r="J20" s="15"/>
      <c r="K20" s="15"/>
    </row>
  </sheetData>
  <mergeCells count="4">
    <mergeCell ref="A1:K1"/>
    <mergeCell ref="A2:K2"/>
    <mergeCell ref="A19:K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50" t="s">
        <v>97</v>
      </c>
      <c r="B1" s="50"/>
      <c r="C1" s="50"/>
      <c r="D1" s="50"/>
      <c r="E1" s="50"/>
      <c r="F1" s="50"/>
    </row>
    <row r="2" customFormat="false" ht="25.5" hidden="false" customHeight="true" outlineLevel="0" collapsed="false">
      <c r="A2" s="51" t="s">
        <v>98</v>
      </c>
      <c r="B2" s="51"/>
      <c r="C2" s="51"/>
      <c r="D2" s="51"/>
      <c r="E2" s="51"/>
      <c r="F2" s="51"/>
    </row>
    <row r="3" customFormat="false" ht="23.85" hidden="false" customHeight="false" outlineLevel="0" collapsed="false">
      <c r="A3" s="52" t="s">
        <v>25</v>
      </c>
      <c r="B3" s="52" t="s">
        <v>99</v>
      </c>
      <c r="C3" s="52" t="s">
        <v>100</v>
      </c>
      <c r="D3" s="52" t="s">
        <v>43</v>
      </c>
      <c r="E3" s="52" t="s">
        <v>101</v>
      </c>
      <c r="F3" s="52" t="s">
        <v>102</v>
      </c>
    </row>
    <row r="4" customFormat="false" ht="15" hidden="false" customHeight="false" outlineLevel="0" collapsed="false">
      <c r="A4" s="8" t="n">
        <v>1</v>
      </c>
      <c r="B4" s="6"/>
      <c r="C4" s="6"/>
      <c r="D4" s="6"/>
      <c r="E4" s="12" t="n">
        <f aca="false">IF(AND(C4&gt;0,D4&gt;0),C4*D4,0)</f>
        <v>0</v>
      </c>
      <c r="F4" s="6"/>
    </row>
    <row r="5" customFormat="false" ht="15" hidden="false" customHeight="false" outlineLevel="0" collapsed="false">
      <c r="A5" s="8" t="n">
        <v>2</v>
      </c>
      <c r="B5" s="6"/>
      <c r="C5" s="6"/>
      <c r="D5" s="6"/>
      <c r="E5" s="12" t="n">
        <f aca="false">IF(AND(C5&gt;0,D5&gt;0),C5*D5,0)</f>
        <v>0</v>
      </c>
      <c r="F5" s="6"/>
    </row>
    <row r="6" customFormat="false" ht="15" hidden="false" customHeight="false" outlineLevel="0" collapsed="false">
      <c r="A6" s="8" t="n">
        <v>3</v>
      </c>
      <c r="B6" s="6"/>
      <c r="C6" s="6"/>
      <c r="D6" s="6"/>
      <c r="E6" s="12" t="n">
        <f aca="false">IF(AND(C6&gt;0,D6&gt;0),C6*D6,0)</f>
        <v>0</v>
      </c>
      <c r="F6" s="6"/>
    </row>
    <row r="7" customFormat="false" ht="15" hidden="false" customHeight="false" outlineLevel="0" collapsed="false">
      <c r="A7" s="8" t="n">
        <v>4</v>
      </c>
      <c r="B7" s="6"/>
      <c r="C7" s="6"/>
      <c r="D7" s="6"/>
      <c r="E7" s="12" t="n">
        <f aca="false">IF(AND(C7&gt;0,D7&gt;0),C7*D7,0)</f>
        <v>0</v>
      </c>
      <c r="F7" s="6"/>
    </row>
    <row r="8" customFormat="false" ht="15" hidden="false" customHeight="false" outlineLevel="0" collapsed="false">
      <c r="A8" s="8" t="n">
        <v>5</v>
      </c>
      <c r="B8" s="6"/>
      <c r="C8" s="6"/>
      <c r="D8" s="6"/>
      <c r="E8" s="12" t="n">
        <f aca="false">IF(AND(C8&gt;0,D8&gt;0),C8*D8,0)</f>
        <v>0</v>
      </c>
      <c r="F8" s="6"/>
    </row>
    <row r="9" customFormat="false" ht="15" hidden="false" customHeight="false" outlineLevel="0" collapsed="false">
      <c r="A9" s="8" t="n">
        <v>6</v>
      </c>
      <c r="B9" s="6"/>
      <c r="C9" s="6"/>
      <c r="D9" s="6"/>
      <c r="E9" s="12" t="n">
        <f aca="false">IF(AND(C9&gt;0,D9&gt;0),C9*D9,0)</f>
        <v>0</v>
      </c>
      <c r="F9" s="6"/>
    </row>
    <row r="10" customFormat="false" ht="15" hidden="false" customHeight="false" outlineLevel="0" collapsed="false">
      <c r="A10" s="8" t="n">
        <v>7</v>
      </c>
      <c r="B10" s="6"/>
      <c r="C10" s="6"/>
      <c r="D10" s="6"/>
      <c r="E10" s="12" t="n">
        <f aca="false">IF(AND(C10&gt;0,D10&gt;0),C10*D10,0)</f>
        <v>0</v>
      </c>
      <c r="F10" s="6"/>
    </row>
    <row r="11" customFormat="false" ht="15" hidden="false" customHeight="false" outlineLevel="0" collapsed="false">
      <c r="A11" s="8" t="n">
        <v>8</v>
      </c>
      <c r="B11" s="6"/>
      <c r="C11" s="6"/>
      <c r="D11" s="6"/>
      <c r="E11" s="12" t="n">
        <f aca="false">IF(AND(C11&gt;0,D11&gt;0),C11*D11,0)</f>
        <v>0</v>
      </c>
      <c r="F11" s="6"/>
    </row>
    <row r="12" customFormat="false" ht="15" hidden="false" customHeight="false" outlineLevel="0" collapsed="false">
      <c r="A12" s="8" t="n">
        <v>9</v>
      </c>
      <c r="B12" s="6"/>
      <c r="C12" s="6"/>
      <c r="D12" s="6"/>
      <c r="E12" s="12" t="n">
        <f aca="false">IF(AND(C12&gt;0,D12&gt;0),C12*D12,0)</f>
        <v>0</v>
      </c>
      <c r="F12" s="6"/>
    </row>
    <row r="13" customFormat="false" ht="15" hidden="false" customHeight="false" outlineLevel="0" collapsed="false">
      <c r="A13" s="8" t="n">
        <v>10</v>
      </c>
      <c r="B13" s="6"/>
      <c r="C13" s="6"/>
      <c r="D13" s="6"/>
      <c r="E13" s="12" t="n">
        <f aca="false">IF(AND(C13&gt;0,D13&gt;0),C13*D13,0)</f>
        <v>0</v>
      </c>
      <c r="F13" s="6"/>
    </row>
    <row r="14" customFormat="false" ht="15" hidden="false" customHeight="true" outlineLevel="0" collapsed="false">
      <c r="A14" s="53" t="s">
        <v>103</v>
      </c>
      <c r="B14" s="53"/>
      <c r="C14" s="53"/>
      <c r="D14" s="53"/>
      <c r="E14" s="54" t="n">
        <f aca="false">SUM(E4:E13)</f>
        <v>0</v>
      </c>
      <c r="F14" s="15"/>
    </row>
  </sheetData>
  <mergeCells count="3">
    <mergeCell ref="A1:F1"/>
    <mergeCell ref="A2:F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6" min="3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55" t="s">
        <v>104</v>
      </c>
      <c r="B1" s="55"/>
      <c r="C1" s="55"/>
      <c r="D1" s="55"/>
      <c r="E1" s="55"/>
      <c r="F1" s="55"/>
      <c r="G1" s="55"/>
    </row>
    <row r="2" customFormat="false" ht="25.5" hidden="false" customHeight="true" outlineLevel="0" collapsed="false">
      <c r="A2" s="3" t="s">
        <v>105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4" t="s">
        <v>25</v>
      </c>
      <c r="B3" s="4" t="s">
        <v>106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6</v>
      </c>
    </row>
    <row r="4" customFormat="false" ht="15" hidden="false" customHeight="false" outlineLevel="0" collapsed="false">
      <c r="A4" s="56" t="n">
        <v>1</v>
      </c>
      <c r="B4" s="57" t="s">
        <v>111</v>
      </c>
      <c r="C4" s="58" t="n">
        <f aca="false">'B. Lighting'!H55</f>
        <v>0</v>
      </c>
      <c r="D4" s="59" t="n">
        <f aca="false">'B. Lighting'!I55</f>
        <v>0</v>
      </c>
      <c r="E4" s="60" t="n">
        <f aca="false">IF(C10&gt;0,C4/C10*100,0)</f>
        <v>0</v>
      </c>
      <c r="F4" s="60" t="n">
        <f aca="false">IF(D10&gt;0,D4/D10*100,0)</f>
        <v>0</v>
      </c>
      <c r="G4" s="61" t="s">
        <v>112</v>
      </c>
    </row>
    <row r="5" customFormat="false" ht="15" hidden="false" customHeight="false" outlineLevel="0" collapsed="false">
      <c r="A5" s="62" t="n">
        <v>2</v>
      </c>
      <c r="B5" s="63" t="s">
        <v>113</v>
      </c>
      <c r="C5" s="64" t="n">
        <f aca="false">'C. Fans AC Heating'!H55</f>
        <v>0</v>
      </c>
      <c r="D5" s="65" t="n">
        <f aca="false">'C. Fans AC Heating'!I55</f>
        <v>0</v>
      </c>
      <c r="E5" s="66" t="n">
        <f aca="false">IF(C10&gt;0,C5/C10*100,0)</f>
        <v>0</v>
      </c>
      <c r="F5" s="66" t="n">
        <f aca="false">IF(D10&gt;0,D5/D10*100,0)</f>
        <v>0</v>
      </c>
      <c r="G5" s="67" t="s">
        <v>114</v>
      </c>
    </row>
    <row r="6" customFormat="false" ht="15" hidden="false" customHeight="false" outlineLevel="0" collapsed="false">
      <c r="A6" s="56" t="n">
        <v>3</v>
      </c>
      <c r="B6" s="57" t="s">
        <v>115</v>
      </c>
      <c r="C6" s="58" t="n">
        <f aca="false">'D. ICT &amp; Office'!H55</f>
        <v>0</v>
      </c>
      <c r="D6" s="59" t="n">
        <f aca="false">'D. ICT &amp; Office'!I55</f>
        <v>0</v>
      </c>
      <c r="E6" s="60" t="n">
        <f aca="false">IF(C10&gt;0,C6/C10*100,0)</f>
        <v>0</v>
      </c>
      <c r="F6" s="60" t="n">
        <f aca="false">IF(D10&gt;0,D6/D10*100,0)</f>
        <v>0</v>
      </c>
      <c r="G6" s="61" t="s">
        <v>116</v>
      </c>
    </row>
    <row r="7" customFormat="false" ht="15" hidden="false" customHeight="false" outlineLevel="0" collapsed="false">
      <c r="A7" s="62" t="n">
        <v>4</v>
      </c>
      <c r="B7" s="63" t="s">
        <v>117</v>
      </c>
      <c r="C7" s="64" t="n">
        <f aca="false">'E. Laboratory'!H55</f>
        <v>0</v>
      </c>
      <c r="D7" s="65" t="n">
        <f aca="false">'E. Laboratory'!I55</f>
        <v>0</v>
      </c>
      <c r="E7" s="66" t="n">
        <f aca="false">IF(C10&gt;0,C7/C10*100,0)</f>
        <v>0</v>
      </c>
      <c r="F7" s="66" t="n">
        <f aca="false">IF(D10&gt;0,D7/D10*100,0)</f>
        <v>0</v>
      </c>
      <c r="G7" s="67" t="s">
        <v>118</v>
      </c>
    </row>
    <row r="8" customFormat="false" ht="23.85" hidden="false" customHeight="false" outlineLevel="0" collapsed="false">
      <c r="A8" s="68" t="n">
        <v>5</v>
      </c>
      <c r="B8" s="23" t="s">
        <v>119</v>
      </c>
      <c r="C8" s="69" t="n">
        <f aca="false">'F. Alt Energy &amp; Conservation'!D20</f>
        <v>0</v>
      </c>
      <c r="D8" s="70" t="n">
        <f aca="false">'F. Alt Energy &amp; Conservation'!G20</f>
        <v>0</v>
      </c>
      <c r="E8" s="71"/>
      <c r="F8" s="71"/>
      <c r="G8" s="72" t="s">
        <v>120</v>
      </c>
    </row>
    <row r="9" customFormat="false" ht="23.85" hidden="false" customHeight="false" outlineLevel="0" collapsed="false">
      <c r="A9" s="62" t="n">
        <v>6</v>
      </c>
      <c r="B9" s="63" t="s">
        <v>121</v>
      </c>
      <c r="C9" s="64" t="n">
        <f aca="false">'G. Waste &amp; By-products'!E14</f>
        <v>0</v>
      </c>
      <c r="D9" s="73"/>
      <c r="E9" s="66"/>
      <c r="F9" s="66"/>
      <c r="G9" s="67" t="s">
        <v>122</v>
      </c>
    </row>
    <row r="10" customFormat="false" ht="26.85" hidden="false" customHeight="true" outlineLevel="0" collapsed="false">
      <c r="A10" s="13" t="s">
        <v>123</v>
      </c>
      <c r="B10" s="13"/>
      <c r="C10" s="74" t="n">
        <f aca="false">C4+C5+C6+C7</f>
        <v>0</v>
      </c>
      <c r="D10" s="75" t="n">
        <f aca="false">D4+D5+D6+D7</f>
        <v>0</v>
      </c>
      <c r="E10" s="15"/>
      <c r="F10" s="15"/>
      <c r="G10" s="15"/>
    </row>
    <row r="11" customFormat="false" ht="26.85" hidden="false" customHeight="true" outlineLevel="0" collapsed="false">
      <c r="A11" s="76" t="s">
        <v>124</v>
      </c>
      <c r="B11" s="76"/>
      <c r="C11" s="77" t="n">
        <f aca="false">IF(C10&gt;C8,C10-C8,0)</f>
        <v>0</v>
      </c>
      <c r="D11" s="78" t="n">
        <f aca="false">IF(D10&gt;D8,D10-D8,0)</f>
        <v>0</v>
      </c>
      <c r="E11" s="15"/>
      <c r="F11" s="15"/>
      <c r="G11" s="15"/>
    </row>
    <row r="12" customFormat="false" ht="17.35" hidden="false" customHeight="true" outlineLevel="0" collapsed="false">
      <c r="A12" s="79" t="s">
        <v>125</v>
      </c>
      <c r="B12" s="79"/>
      <c r="C12" s="80" t="n">
        <f aca="false">IF(C10&gt;0,C8/C10*100,0)</f>
        <v>0</v>
      </c>
      <c r="D12" s="81"/>
      <c r="E12" s="81"/>
      <c r="F12" s="81"/>
      <c r="G12" s="81"/>
    </row>
    <row r="14" customFormat="false" ht="25.5" hidden="false" customHeight="true" outlineLevel="0" collapsed="false">
      <c r="A14" s="2" t="s">
        <v>126</v>
      </c>
      <c r="B14" s="2"/>
      <c r="C14" s="2"/>
      <c r="D14" s="2"/>
      <c r="E14" s="2"/>
      <c r="F14" s="2"/>
      <c r="G14" s="2"/>
    </row>
    <row r="15" customFormat="false" ht="15" hidden="false" customHeight="true" outlineLevel="0" collapsed="false">
      <c r="A15" s="63" t="s">
        <v>127</v>
      </c>
      <c r="B15" s="63"/>
      <c r="C15" s="65" t="n">
        <f aca="false">'B. Lighting'!E55</f>
        <v>0</v>
      </c>
      <c r="D15" s="62" t="s">
        <v>128</v>
      </c>
      <c r="E15" s="82"/>
      <c r="F15" s="82"/>
      <c r="G15" s="82"/>
    </row>
    <row r="16" customFormat="false" ht="15" hidden="false" customHeight="true" outlineLevel="0" collapsed="false">
      <c r="A16" s="57" t="s">
        <v>129</v>
      </c>
      <c r="B16" s="57"/>
      <c r="C16" s="60" t="n">
        <f aca="false">'B. Lighting'!E64</f>
        <v>0</v>
      </c>
      <c r="D16" s="56" t="s">
        <v>130</v>
      </c>
      <c r="E16" s="83"/>
      <c r="F16" s="83"/>
      <c r="G16" s="83"/>
    </row>
    <row r="17" customFormat="false" ht="15" hidden="false" customHeight="true" outlineLevel="0" collapsed="false">
      <c r="A17" s="63" t="s">
        <v>131</v>
      </c>
      <c r="B17" s="63"/>
      <c r="C17" s="65" t="n">
        <f aca="false">'C. Fans AC Heating'!E57</f>
        <v>0</v>
      </c>
      <c r="D17" s="62" t="s">
        <v>128</v>
      </c>
      <c r="E17" s="82"/>
      <c r="F17" s="82"/>
      <c r="G17" s="82"/>
    </row>
    <row r="18" customFormat="false" ht="15" hidden="false" customHeight="true" outlineLevel="0" collapsed="false">
      <c r="A18" s="57" t="s">
        <v>132</v>
      </c>
      <c r="B18" s="57"/>
      <c r="C18" s="59" t="n">
        <f aca="false">'C. Fans AC Heating'!E58</f>
        <v>0</v>
      </c>
      <c r="D18" s="56" t="s">
        <v>128</v>
      </c>
      <c r="E18" s="83"/>
      <c r="F18" s="83"/>
      <c r="G18" s="83"/>
    </row>
    <row r="19" customFormat="false" ht="15" hidden="false" customHeight="true" outlineLevel="0" collapsed="false">
      <c r="A19" s="63" t="s">
        <v>133</v>
      </c>
      <c r="B19" s="63"/>
      <c r="C19" s="65" t="n">
        <f aca="false">'D. ICT &amp; Office'!E55</f>
        <v>0</v>
      </c>
      <c r="D19" s="62" t="s">
        <v>134</v>
      </c>
      <c r="E19" s="82"/>
      <c r="F19" s="82"/>
      <c r="G19" s="82"/>
    </row>
    <row r="20" customFormat="false" ht="15" hidden="false" customHeight="true" outlineLevel="0" collapsed="false">
      <c r="A20" s="57" t="s">
        <v>135</v>
      </c>
      <c r="B20" s="57"/>
      <c r="C20" s="59" t="n">
        <f aca="false">'F. Alt Energy &amp; Conservation'!D20</f>
        <v>0</v>
      </c>
      <c r="D20" s="56" t="s">
        <v>136</v>
      </c>
      <c r="E20" s="83"/>
      <c r="F20" s="83"/>
      <c r="G20" s="83"/>
    </row>
    <row r="21" customFormat="false" ht="15" hidden="false" customHeight="true" outlineLevel="0" collapsed="false">
      <c r="A21" s="63" t="s">
        <v>137</v>
      </c>
      <c r="B21" s="63"/>
      <c r="C21" s="65" t="n">
        <f aca="false">'G. Waste &amp; By-products'!E14</f>
        <v>0</v>
      </c>
      <c r="D21" s="62" t="s">
        <v>138</v>
      </c>
      <c r="E21" s="82"/>
      <c r="F21" s="82"/>
      <c r="G21" s="82"/>
    </row>
  </sheetData>
  <mergeCells count="13">
    <mergeCell ref="A1:G1"/>
    <mergeCell ref="A2:G2"/>
    <mergeCell ref="A10:B10"/>
    <mergeCell ref="A11:B11"/>
    <mergeCell ref="A12:B12"/>
    <mergeCell ref="A14:G14"/>
    <mergeCell ref="A15:B15"/>
    <mergeCell ref="A16:B16"/>
    <mergeCell ref="A17:B17"/>
    <mergeCell ref="A18:B18"/>
    <mergeCell ref="A19:B19"/>
    <mergeCell ref="A20:B20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84" t="s">
        <v>139</v>
      </c>
      <c r="B1" s="84"/>
      <c r="C1" s="84"/>
      <c r="D1" s="84"/>
      <c r="E1" s="84"/>
      <c r="F1" s="84"/>
    </row>
    <row r="2" customFormat="false" ht="25.5" hidden="false" customHeight="true" outlineLevel="0" collapsed="false">
      <c r="A2" s="85" t="s">
        <v>140</v>
      </c>
      <c r="B2" s="85"/>
      <c r="C2" s="85"/>
      <c r="D2" s="85"/>
      <c r="E2" s="85"/>
      <c r="F2" s="85"/>
    </row>
    <row r="3" customFormat="false" ht="15" hidden="false" customHeight="false" outlineLevel="0" collapsed="false">
      <c r="A3" s="86" t="s">
        <v>141</v>
      </c>
      <c r="B3" s="86" t="s">
        <v>142</v>
      </c>
      <c r="C3" s="86" t="s">
        <v>143</v>
      </c>
      <c r="D3" s="86" t="s">
        <v>144</v>
      </c>
      <c r="E3" s="86" t="s">
        <v>145</v>
      </c>
      <c r="F3" s="86" t="s">
        <v>146</v>
      </c>
    </row>
    <row r="4" customFormat="false" ht="31.5" hidden="false" customHeight="true" outlineLevel="0" collapsed="false">
      <c r="A4" s="87" t="n">
        <v>1</v>
      </c>
      <c r="B4" s="88" t="s">
        <v>147</v>
      </c>
      <c r="C4" s="89" t="s">
        <v>148</v>
      </c>
      <c r="D4" s="90"/>
      <c r="E4" s="90"/>
      <c r="F4" s="90"/>
    </row>
    <row r="5" customFormat="false" ht="31.5" hidden="false" customHeight="true" outlineLevel="0" collapsed="false">
      <c r="A5" s="62" t="n">
        <v>2</v>
      </c>
      <c r="B5" s="63" t="s">
        <v>149</v>
      </c>
      <c r="C5" s="67" t="s">
        <v>150</v>
      </c>
      <c r="D5" s="91"/>
      <c r="E5" s="91"/>
      <c r="F5" s="91"/>
    </row>
    <row r="6" customFormat="false" ht="31.5" hidden="false" customHeight="true" outlineLevel="0" collapsed="false">
      <c r="A6" s="87" t="n">
        <v>3</v>
      </c>
      <c r="B6" s="88" t="s">
        <v>151</v>
      </c>
      <c r="C6" s="89" t="s">
        <v>152</v>
      </c>
      <c r="D6" s="90"/>
      <c r="E6" s="90"/>
      <c r="F6" s="90"/>
    </row>
    <row r="7" customFormat="false" ht="31.5" hidden="false" customHeight="true" outlineLevel="0" collapsed="false">
      <c r="A7" s="62" t="n">
        <v>4</v>
      </c>
      <c r="B7" s="63" t="s">
        <v>153</v>
      </c>
      <c r="C7" s="67" t="s">
        <v>154</v>
      </c>
      <c r="D7" s="91"/>
      <c r="E7" s="91"/>
      <c r="F7" s="91"/>
    </row>
    <row r="8" customFormat="false" ht="31.5" hidden="false" customHeight="true" outlineLevel="0" collapsed="false">
      <c r="A8" s="87" t="n">
        <v>5</v>
      </c>
      <c r="B8" s="88" t="s">
        <v>155</v>
      </c>
      <c r="C8" s="89" t="s">
        <v>156</v>
      </c>
      <c r="D8" s="90"/>
      <c r="E8" s="90"/>
      <c r="F8" s="90"/>
    </row>
    <row r="9" customFormat="false" ht="31.5" hidden="false" customHeight="true" outlineLevel="0" collapsed="false">
      <c r="A9" s="62" t="n">
        <v>6</v>
      </c>
      <c r="B9" s="63" t="s">
        <v>157</v>
      </c>
      <c r="C9" s="67" t="s">
        <v>158</v>
      </c>
      <c r="D9" s="91"/>
      <c r="E9" s="91"/>
      <c r="F9" s="91"/>
    </row>
    <row r="10" customFormat="false" ht="31.5" hidden="false" customHeight="true" outlineLevel="0" collapsed="false">
      <c r="A10" s="87" t="n">
        <v>7</v>
      </c>
      <c r="B10" s="88" t="s">
        <v>159</v>
      </c>
      <c r="C10" s="89" t="s">
        <v>160</v>
      </c>
      <c r="D10" s="90"/>
      <c r="E10" s="90"/>
      <c r="F10" s="90"/>
    </row>
    <row r="11" customFormat="false" ht="31.5" hidden="false" customHeight="true" outlineLevel="0" collapsed="false">
      <c r="A11" s="62" t="n">
        <v>8</v>
      </c>
      <c r="B11" s="63" t="s">
        <v>161</v>
      </c>
      <c r="C11" s="67" t="s">
        <v>162</v>
      </c>
      <c r="D11" s="91"/>
      <c r="E11" s="91"/>
      <c r="F11" s="91"/>
    </row>
    <row r="12" customFormat="false" ht="31.5" hidden="false" customHeight="true" outlineLevel="0" collapsed="false">
      <c r="A12" s="87" t="n">
        <v>9</v>
      </c>
      <c r="B12" s="88" t="s">
        <v>163</v>
      </c>
      <c r="C12" s="89" t="s">
        <v>164</v>
      </c>
      <c r="D12" s="90"/>
      <c r="E12" s="90"/>
      <c r="F12" s="90"/>
    </row>
    <row r="13" customFormat="false" ht="31.5" hidden="false" customHeight="true" outlineLevel="0" collapsed="false">
      <c r="A13" s="62" t="n">
        <v>10</v>
      </c>
      <c r="B13" s="63" t="s">
        <v>165</v>
      </c>
      <c r="C13" s="67" t="s">
        <v>166</v>
      </c>
      <c r="D13" s="91"/>
      <c r="E13" s="91"/>
      <c r="F13" s="91"/>
    </row>
    <row r="14" customFormat="false" ht="31.5" hidden="false" customHeight="true" outlineLevel="0" collapsed="false">
      <c r="A14" s="87" t="n">
        <v>11</v>
      </c>
      <c r="B14" s="88" t="s">
        <v>167</v>
      </c>
      <c r="C14" s="89" t="s">
        <v>168</v>
      </c>
      <c r="D14" s="90"/>
      <c r="E14" s="90"/>
      <c r="F14" s="90"/>
    </row>
    <row r="15" customFormat="false" ht="31.5" hidden="false" customHeight="true" outlineLevel="0" collapsed="false">
      <c r="A15" s="62" t="n">
        <v>12</v>
      </c>
      <c r="B15" s="63" t="s">
        <v>169</v>
      </c>
      <c r="C15" s="67" t="s">
        <v>170</v>
      </c>
      <c r="D15" s="91"/>
      <c r="E15" s="91"/>
      <c r="F15" s="91"/>
    </row>
    <row r="16" customFormat="false" ht="31.5" hidden="false" customHeight="true" outlineLevel="0" collapsed="false">
      <c r="A16" s="87" t="n">
        <v>13</v>
      </c>
      <c r="B16" s="88" t="s">
        <v>171</v>
      </c>
      <c r="C16" s="89" t="s">
        <v>172</v>
      </c>
      <c r="D16" s="90"/>
      <c r="E16" s="90"/>
      <c r="F16" s="90"/>
    </row>
    <row r="17" customFormat="false" ht="31.5" hidden="false" customHeight="true" outlineLevel="0" collapsed="false">
      <c r="A17" s="62" t="n">
        <v>14</v>
      </c>
      <c r="B17" s="63" t="s">
        <v>173</v>
      </c>
      <c r="C17" s="67" t="s">
        <v>174</v>
      </c>
      <c r="D17" s="91"/>
      <c r="E17" s="91"/>
      <c r="F17" s="91"/>
    </row>
    <row r="18" customFormat="false" ht="31.5" hidden="false" customHeight="true" outlineLevel="0" collapsed="false">
      <c r="A18" s="87" t="n">
        <v>15</v>
      </c>
      <c r="B18" s="88" t="s">
        <v>175</v>
      </c>
      <c r="C18" s="89" t="s">
        <v>176</v>
      </c>
      <c r="D18" s="90"/>
      <c r="E18" s="90"/>
      <c r="F18" s="90"/>
    </row>
    <row r="19" customFormat="false" ht="31.5" hidden="false" customHeight="true" outlineLevel="0" collapsed="false">
      <c r="A19" s="62" t="n">
        <v>16</v>
      </c>
      <c r="B19" s="63" t="s">
        <v>177</v>
      </c>
      <c r="C19" s="67" t="s">
        <v>178</v>
      </c>
      <c r="D19" s="91"/>
      <c r="E19" s="91"/>
      <c r="F19" s="91"/>
    </row>
    <row r="20" customFormat="false" ht="31.5" hidden="false" customHeight="true" outlineLevel="0" collapsed="false">
      <c r="A20" s="87" t="n">
        <v>17</v>
      </c>
      <c r="B20" s="88" t="s">
        <v>179</v>
      </c>
      <c r="C20" s="89" t="s">
        <v>180</v>
      </c>
      <c r="D20" s="90"/>
      <c r="E20" s="90"/>
      <c r="F20" s="90"/>
    </row>
    <row r="21" customFormat="false" ht="31.5" hidden="false" customHeight="true" outlineLevel="0" collapsed="false">
      <c r="A21" s="62" t="n">
        <v>18</v>
      </c>
      <c r="B21" s="63" t="s">
        <v>181</v>
      </c>
      <c r="C21" s="67" t="s">
        <v>182</v>
      </c>
      <c r="D21" s="91"/>
      <c r="E21" s="91"/>
      <c r="F21" s="91"/>
    </row>
    <row r="22" customFormat="false" ht="31.5" hidden="false" customHeight="true" outlineLevel="0" collapsed="false">
      <c r="A22" s="87" t="n">
        <v>19</v>
      </c>
      <c r="B22" s="88" t="s">
        <v>183</v>
      </c>
      <c r="C22" s="89" t="s">
        <v>184</v>
      </c>
      <c r="D22" s="90"/>
      <c r="E22" s="90"/>
      <c r="F22" s="90"/>
    </row>
    <row r="23" customFormat="false" ht="31.5" hidden="false" customHeight="true" outlineLevel="0" collapsed="false">
      <c r="A23" s="62" t="n">
        <v>20</v>
      </c>
      <c r="B23" s="63" t="s">
        <v>185</v>
      </c>
      <c r="C23" s="67" t="s">
        <v>186</v>
      </c>
      <c r="D23" s="91"/>
      <c r="E23" s="91"/>
      <c r="F23" s="9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2026-06-08T06:54:29Z</dcterms:created>
  <dc:creator>openpyxl</dc:creator>
  <dc:description/>
  <dc:language>en-US</dc:language>
  <cp:lastModifiedBy/>
  <dcterms:modified xsi:type="dcterms:W3CDTF">2026-06-08T06:54:29Z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